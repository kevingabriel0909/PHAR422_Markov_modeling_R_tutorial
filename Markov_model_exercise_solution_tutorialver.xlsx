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8_{31E153A2-76CA-4E78-AF60-40DCB334DEB0}" xr6:coauthVersionLast="47" xr6:coauthVersionMax="47" xr10:uidLastSave="{00000000-0000-0000-0000-000000000000}"/>
  <bookViews>
    <workbookView xWindow="-108" yWindow="-108" windowWidth="23256" windowHeight="13896" tabRatio="594" activeTab="1" xr2:uid="{00000000-000D-0000-FFFF-FFFF00000000}"/>
  </bookViews>
  <sheets>
    <sheet name="3.1 Exercise 3" sheetId="10" r:id="rId1"/>
    <sheet name="Working" sheetId="41" r:id="rId2"/>
    <sheet name="Solution" sheetId="42" r:id="rId3"/>
  </sheets>
  <definedNames>
    <definedName name="CM_TranMat">#REF!</definedName>
    <definedName name="T1_Tranmat">#REF!</definedName>
  </definedNames>
  <calcPr calcId="191029"/>
</workbook>
</file>

<file path=xl/calcChain.xml><?xml version="1.0" encoding="utf-8"?>
<calcChain xmlns="http://schemas.openxmlformats.org/spreadsheetml/2006/main">
  <c r="P7" i="42" l="1"/>
  <c r="P34" i="42"/>
  <c r="N34" i="42"/>
  <c r="L7" i="42"/>
  <c r="Q7" i="42"/>
  <c r="M34" i="42"/>
  <c r="L34" i="42"/>
  <c r="N7" i="42"/>
  <c r="M7" i="42"/>
  <c r="I8" i="42"/>
  <c r="H7" i="42"/>
  <c r="P35" i="42"/>
  <c r="I7" i="42"/>
  <c r="V33" i="42"/>
  <c r="U33" i="42"/>
  <c r="U32" i="42"/>
  <c r="U31" i="42"/>
  <c r="T33" i="42"/>
  <c r="T32" i="42"/>
  <c r="T31" i="42"/>
  <c r="Q54" i="42"/>
  <c r="P54" i="42"/>
  <c r="Q35" i="42"/>
  <c r="Q36" i="42"/>
  <c r="Q37" i="42"/>
  <c r="Q38" i="42"/>
  <c r="Q39" i="42"/>
  <c r="Q40" i="42"/>
  <c r="Q41" i="42"/>
  <c r="Q42" i="42"/>
  <c r="Q43" i="42"/>
  <c r="Q44" i="42"/>
  <c r="Q45" i="42"/>
  <c r="Q46" i="42"/>
  <c r="Q47" i="42"/>
  <c r="Q48" i="42"/>
  <c r="Q49" i="42"/>
  <c r="Q50" i="42"/>
  <c r="Q51" i="42"/>
  <c r="Q52" i="42"/>
  <c r="Q53" i="42"/>
  <c r="P36" i="42"/>
  <c r="P37" i="42"/>
  <c r="P38" i="42"/>
  <c r="P39" i="42"/>
  <c r="P40" i="42"/>
  <c r="P41" i="42"/>
  <c r="P42" i="42"/>
  <c r="P43" i="42"/>
  <c r="P44" i="42"/>
  <c r="P45" i="42"/>
  <c r="P46" i="42"/>
  <c r="P47" i="42"/>
  <c r="P48" i="42"/>
  <c r="P49" i="42"/>
  <c r="P50" i="42"/>
  <c r="P51" i="42"/>
  <c r="P52" i="42"/>
  <c r="P53" i="42"/>
  <c r="Q34" i="42"/>
  <c r="L35" i="42"/>
  <c r="N36" i="42" s="1"/>
  <c r="M35" i="42"/>
  <c r="M36" i="42" s="1"/>
  <c r="N35" i="42"/>
  <c r="L36" i="42"/>
  <c r="N37" i="42" s="1"/>
  <c r="H35" i="42"/>
  <c r="I35" i="42"/>
  <c r="I34" i="42"/>
  <c r="H34" i="42"/>
  <c r="G34" i="42"/>
  <c r="Q27" i="42"/>
  <c r="Q8" i="42"/>
  <c r="Q9" i="42"/>
  <c r="Q10" i="42"/>
  <c r="Q11" i="42"/>
  <c r="Q12" i="42"/>
  <c r="Q13" i="42"/>
  <c r="Q14" i="42"/>
  <c r="Q15" i="42"/>
  <c r="Q16" i="42"/>
  <c r="Q17" i="42"/>
  <c r="Q18" i="42"/>
  <c r="Q19" i="42"/>
  <c r="Q20" i="42"/>
  <c r="Q21" i="42"/>
  <c r="Q22" i="42"/>
  <c r="Q23" i="42"/>
  <c r="Q24" i="42"/>
  <c r="Q25" i="42"/>
  <c r="Q26" i="42"/>
  <c r="P27" i="42"/>
  <c r="P8" i="42"/>
  <c r="P9" i="42"/>
  <c r="P10" i="42"/>
  <c r="P11" i="42"/>
  <c r="P12" i="42"/>
  <c r="P13" i="42"/>
  <c r="P14" i="42"/>
  <c r="P15" i="42"/>
  <c r="P16" i="42"/>
  <c r="P17" i="42"/>
  <c r="P18" i="42"/>
  <c r="P19" i="42"/>
  <c r="P20" i="42"/>
  <c r="P21" i="42"/>
  <c r="P22" i="42"/>
  <c r="P23" i="42"/>
  <c r="P24" i="42"/>
  <c r="P25" i="42"/>
  <c r="P26" i="42"/>
  <c r="O7" i="42"/>
  <c r="O8" i="42"/>
  <c r="O9" i="42"/>
  <c r="O10" i="42"/>
  <c r="O11" i="42"/>
  <c r="O12" i="42"/>
  <c r="O13" i="42"/>
  <c r="O14" i="42"/>
  <c r="O15" i="42"/>
  <c r="O16" i="42"/>
  <c r="O17" i="42"/>
  <c r="O18" i="42"/>
  <c r="O19" i="42"/>
  <c r="O20" i="42"/>
  <c r="O21" i="42"/>
  <c r="O22" i="42"/>
  <c r="O23" i="42"/>
  <c r="O24" i="42"/>
  <c r="O25" i="42"/>
  <c r="O26" i="42"/>
  <c r="O6" i="42"/>
  <c r="L8" i="42"/>
  <c r="M8" i="42"/>
  <c r="N8" i="42"/>
  <c r="L9" i="42"/>
  <c r="N10" i="42" s="1"/>
  <c r="M9" i="42"/>
  <c r="N9" i="42"/>
  <c r="H8" i="42"/>
  <c r="G7" i="42"/>
  <c r="C15" i="42"/>
  <c r="C14" i="42"/>
  <c r="C13" i="42"/>
  <c r="C12" i="42"/>
  <c r="M37" i="42" l="1"/>
  <c r="L37" i="42"/>
  <c r="M10" i="42"/>
  <c r="L10" i="42"/>
  <c r="L38" i="42" l="1"/>
  <c r="M38" i="42"/>
  <c r="N38" i="42"/>
  <c r="L11" i="42"/>
  <c r="M11" i="42"/>
  <c r="N11" i="42"/>
  <c r="L39" i="42" l="1"/>
  <c r="M39" i="42"/>
  <c r="N39" i="42"/>
  <c r="M12" i="42"/>
  <c r="L12" i="42"/>
  <c r="N12" i="42"/>
  <c r="M40" i="42" l="1"/>
  <c r="N40" i="42"/>
  <c r="L40" i="42"/>
  <c r="M13" i="42"/>
  <c r="N13" i="42"/>
  <c r="L13" i="42"/>
  <c r="L41" i="42" l="1"/>
  <c r="M41" i="42"/>
  <c r="N41" i="42"/>
  <c r="M14" i="42"/>
  <c r="L14" i="42"/>
  <c r="N14" i="42"/>
  <c r="M42" i="42" l="1"/>
  <c r="N42" i="42"/>
  <c r="L42" i="42"/>
  <c r="L15" i="42"/>
  <c r="M15" i="42"/>
  <c r="N15" i="42"/>
  <c r="L43" i="42" l="1"/>
  <c r="M43" i="42"/>
  <c r="N43" i="42"/>
  <c r="L16" i="42"/>
  <c r="M16" i="42"/>
  <c r="N16" i="42"/>
  <c r="L44" i="42" l="1"/>
  <c r="M44" i="42"/>
  <c r="N44" i="42"/>
  <c r="N17" i="42"/>
  <c r="L17" i="42"/>
  <c r="M17" i="42"/>
  <c r="N45" i="42" l="1"/>
  <c r="L45" i="42"/>
  <c r="M45" i="42"/>
  <c r="N18" i="42"/>
  <c r="L18" i="42"/>
  <c r="M18" i="42"/>
  <c r="L46" i="42" l="1"/>
  <c r="M46" i="42"/>
  <c r="N46" i="42"/>
  <c r="L19" i="42"/>
  <c r="M19" i="42"/>
  <c r="N19" i="42"/>
  <c r="N47" i="42" l="1"/>
  <c r="L47" i="42"/>
  <c r="M47" i="42"/>
  <c r="M20" i="42"/>
  <c r="N20" i="42"/>
  <c r="L20" i="42"/>
  <c r="M48" i="42" l="1"/>
  <c r="N48" i="42"/>
  <c r="L48" i="42"/>
  <c r="M21" i="42"/>
  <c r="L21" i="42"/>
  <c r="N21" i="42"/>
  <c r="M49" i="42" l="1"/>
  <c r="N49" i="42"/>
  <c r="L49" i="42"/>
  <c r="M22" i="42"/>
  <c r="L22" i="42"/>
  <c r="N22" i="42"/>
  <c r="L50" i="42" l="1"/>
  <c r="M50" i="42"/>
  <c r="N50" i="42"/>
  <c r="L23" i="42"/>
  <c r="M23" i="42"/>
  <c r="N23" i="42"/>
  <c r="L51" i="42" l="1"/>
  <c r="N51" i="42"/>
  <c r="M51" i="42"/>
  <c r="L24" i="42"/>
  <c r="M24" i="42"/>
  <c r="N24" i="42"/>
  <c r="L52" i="42" l="1"/>
  <c r="M52" i="42"/>
  <c r="N52" i="42"/>
  <c r="M25" i="42"/>
  <c r="N25" i="42"/>
  <c r="L25" i="42"/>
  <c r="N53" i="42" l="1"/>
  <c r="L53" i="42"/>
  <c r="M53" i="42"/>
  <c r="N26" i="42"/>
  <c r="L26" i="42"/>
  <c r="M26" i="42"/>
</calcChain>
</file>

<file path=xl/sharedStrings.xml><?xml version="1.0" encoding="utf-8"?>
<sst xmlns="http://schemas.openxmlformats.org/spreadsheetml/2006/main" count="141" uniqueCount="42">
  <si>
    <t>FROM</t>
  </si>
  <si>
    <t>TO</t>
  </si>
  <si>
    <t>Death</t>
  </si>
  <si>
    <t>Year</t>
  </si>
  <si>
    <t>Costs</t>
  </si>
  <si>
    <t>QALYs</t>
  </si>
  <si>
    <t>Cost per QALY</t>
  </si>
  <si>
    <t>Utilities</t>
  </si>
  <si>
    <t>Total Cost</t>
  </si>
  <si>
    <t>Total QALY</t>
  </si>
  <si>
    <t>STATE</t>
  </si>
  <si>
    <r>
      <t>Treatment T</t>
    </r>
    <r>
      <rPr>
        <b/>
        <vertAlign val="subscript"/>
        <sz val="10"/>
        <rFont val="Arial"/>
        <family val="2"/>
      </rPr>
      <t>1</t>
    </r>
  </si>
  <si>
    <r>
      <t>Conventional Management T</t>
    </r>
    <r>
      <rPr>
        <b/>
        <vertAlign val="subscript"/>
        <sz val="10"/>
        <rFont val="Arial"/>
        <family val="2"/>
      </rPr>
      <t>0</t>
    </r>
  </si>
  <si>
    <r>
      <t>Conventional Management T</t>
    </r>
    <r>
      <rPr>
        <b/>
        <vertAlign val="subscript"/>
        <sz val="14"/>
        <rFont val="Arial"/>
        <family val="2"/>
      </rPr>
      <t>0</t>
    </r>
  </si>
  <si>
    <t>Healthy</t>
  </si>
  <si>
    <t>Unhealthy</t>
  </si>
  <si>
    <t>-</t>
  </si>
  <si>
    <t>Incremental</t>
  </si>
  <si>
    <t>Probability</t>
  </si>
  <si>
    <t>Information</t>
  </si>
  <si>
    <r>
      <t>▪</t>
    </r>
    <r>
      <rPr>
        <sz val="7"/>
        <rFont val="Times New Roman"/>
        <family val="1"/>
      </rPr>
      <t xml:space="preserve">        </t>
    </r>
    <r>
      <rPr>
        <sz val="11"/>
        <rFont val="Times New Roman"/>
        <family val="1"/>
      </rPr>
      <t>You may ignore discounting costs and benefits associated with future events.</t>
    </r>
  </si>
  <si>
    <t>Additional Information</t>
  </si>
  <si>
    <t>Treatment (T1)</t>
  </si>
  <si>
    <t>Exercise 3: Markov model</t>
  </si>
  <si>
    <t xml:space="preserve">The health utility associated with healthy patients is 0.9 (SE 0.02). Unhealthy patients have a health utility of 0.4 (SE 0.04). </t>
  </si>
  <si>
    <t>ICER</t>
  </si>
  <si>
    <t>Healthy to unhealthy (T0)</t>
  </si>
  <si>
    <t>Healthy to unhealthy (T1)</t>
  </si>
  <si>
    <t>Healthy to death</t>
  </si>
  <si>
    <t>Unhealthy to death</t>
  </si>
  <si>
    <t>Treatment (T0)</t>
  </si>
  <si>
    <t>Consider a latent disease whereby there are three possible health states: “Healthy”, “Unhealthy” and “Death.” A new treatment has been discovered that has been found to reduce the probability of disease carriers becoming unhealthy (though people must continue treatment even after they become unhealthy). You have been asked to conduct an appraisal of the costs and benefits of the treatment.</t>
  </si>
  <si>
    <t>A randomised study found that 13 out of 1456 patients using the new treatment became unhealthy each year, compared to 26 out of 1464 in the control group (which is conventional management). The risk of mortality was the same for each arm (8 deaths out of 1825 healthy patients per year and 9 deaths out of 1095 unhealthy patients). Once patients become unhealthy, they cannot become healthy again but all patients start off as healthy carriers.</t>
  </si>
  <si>
    <t xml:space="preserve">The cost of the new treatment is $1000 per year and the cost of treating unhealthy patients is $6000 (SE $50) per year. There is no cost associated with healthy patients or death. </t>
  </si>
  <si>
    <r>
      <t>▪</t>
    </r>
    <r>
      <rPr>
        <sz val="7"/>
        <rFont val="Times New Roman"/>
        <family val="1"/>
      </rPr>
      <t xml:space="preserve">        </t>
    </r>
    <r>
      <rPr>
        <sz val="11"/>
        <rFont val="Times New Roman"/>
        <family val="1"/>
      </rPr>
      <t>All patients either receive the new treatment or conventional management</t>
    </r>
  </si>
  <si>
    <r>
      <t>▪</t>
    </r>
    <r>
      <rPr>
        <sz val="7"/>
        <rFont val="Times New Roman"/>
        <family val="1"/>
      </rPr>
      <t xml:space="preserve">        </t>
    </r>
    <r>
      <rPr>
        <sz val="11"/>
        <rFont val="Times New Roman"/>
        <family val="1"/>
      </rPr>
      <t>You do not need to include a half-cycle correction (the average of the calculated costs and health gains)</t>
    </r>
  </si>
  <si>
    <t>3.2 If the healthcare payer was willing to pay $20,000 for 1 additional QALY, should they fund this new treatment?</t>
  </si>
  <si>
    <t>3.1 Develop a Markov Model to calculate the incremental cost effectiveness of the new treatment (T1) versus conventional management (T0) over a time horizon of 20 years.</t>
  </si>
  <si>
    <r>
      <t>▪</t>
    </r>
    <r>
      <rPr>
        <sz val="7"/>
        <rFont val="Times New Roman"/>
        <family val="1"/>
      </rPr>
      <t xml:space="preserve">        </t>
    </r>
    <r>
      <rPr>
        <sz val="11"/>
        <rFont val="Times New Roman"/>
        <family val="1"/>
      </rPr>
      <t>Assume that patients who die do so at the start of the year, after taking the treatment</t>
    </r>
    <r>
      <rPr>
        <sz val="10"/>
        <rFont val="Arial"/>
        <family val="2"/>
      </rPr>
      <t>, and that there are no death costs</t>
    </r>
  </si>
  <si>
    <t>Treatment T1</t>
  </si>
  <si>
    <t>0 (Start)</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</si>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</sst>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quot;£&quot;* #,##0.00_-;_-&quot;£&quot;* &quot;-&quot;??_-;_-@_-"/>
    <numFmt numFmtId="165" formatCode="_-&quot;£&quot;* #,##0_-;\-&quot;£&quot;* #,##0_-;_-&quot;£&quot;* &quot;-&quot;??_-;_-@_-"/>
    <numFmt numFmtId="166" formatCode="0.000"/>
    <numFmt numFmtId="167" formatCode="&quot;$&quot;#,##0"/>
    <numFmt numFmtId="168" formatCode="&quot;$&quot;#,##0.00"/>
    <numFmt numFmtId="169" formatCode="0.0%"/>
    <numFmt numFmtId="170" formatCode="#,##0.000"/>
    <numFmt numFmtId="171" formatCode="0.000%"/>
  </numFmts>
  <fonts count="15" x14ac:knownFonts="1">
    <font>
      <sz val="10"/>
      <name val="Arial"/>
    </font>
    <font>
      <sz val="10"/>
      <name val="Arial"/>
      <family val="2"/>
    </font>
    <font>
      <sz val="10"/>
      <name val="Times New Roman"/>
      <family val="1"/>
    </font>
    <font>
      <b/>
      <sz val="10"/>
      <name val="Arial"/>
      <family val="2"/>
    </font>
    <font>
      <sz val="16"/>
      <name val="Arial"/>
      <family val="2"/>
    </font>
    <font>
      <sz val="10"/>
      <name val="Arial"/>
      <family val="2"/>
    </font>
    <font>
      <b/>
      <vertAlign val="subscript"/>
      <sz val="10"/>
      <name val="Arial"/>
      <family val="2"/>
    </font>
    <font>
      <b/>
      <sz val="14"/>
      <name val="Arial"/>
      <family val="2"/>
    </font>
    <font>
      <b/>
      <vertAlign val="subscript"/>
      <sz val="14"/>
      <name val="Arial"/>
      <family val="2"/>
    </font>
    <font>
      <sz val="8"/>
      <name val="Arial"/>
      <family val="2"/>
    </font>
    <font>
      <b/>
      <u/>
      <sz val="11"/>
      <name val="Times New Roman"/>
      <family val="1"/>
    </font>
    <font>
      <sz val="11"/>
      <name val="Times New Roman"/>
      <family val="1"/>
    </font>
    <font>
      <sz val="7"/>
      <name val="Times New Roman"/>
      <family val="1"/>
    </font>
    <font>
      <b/>
      <sz val="11"/>
      <name val="Times New Roman"/>
      <family val="1"/>
    </font>
    <font>
      <b/>
      <sz val="10"/>
      <color rgb="FFFF0000"/>
      <name val="Arial"/>
      <family val="2"/>
    </font>
  </fonts>
  <fills count="9">
    <fill>
      <patternFill patternType="none"/>
    </fill>
    <fill>
      <patternFill patternType="gray125"/>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9"/>
        <bgColor indexed="64"/>
      </patternFill>
    </fill>
    <fill>
      <patternFill patternType="solid">
        <fgColor rgb="FFFFFFFF"/>
        <bgColor rgb="FF000000"/>
      </patternFill>
    </fill>
    <fill>
      <patternFill patternType="solid">
        <fgColor rgb="FFFFFF99"/>
        <bgColor rgb="FF000000"/>
      </patternFill>
    </fill>
    <fill>
      <patternFill patternType="solid">
        <fgColor rgb="FFFFFF9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74">
    <xf numFmtId="0" fontId="0" fillId="0" borderId="0" xfId="0"/>
    <xf numFmtId="0" fontId="0" fillId="0" borderId="1" xfId="0" applyBorder="1"/>
    <xf numFmtId="0" fontId="3" fillId="0" borderId="1" xfId="0" applyFont="1" applyBorder="1"/>
    <xf numFmtId="0" fontId="0" fillId="0" borderId="2" xfId="0" applyBorder="1"/>
    <xf numFmtId="0" fontId="4" fillId="2" borderId="0" xfId="0" applyFont="1" applyFill="1"/>
    <xf numFmtId="0" fontId="0" fillId="0" borderId="1" xfId="0" applyBorder="1" applyAlignment="1">
      <alignment horizontal="center"/>
    </xf>
    <xf numFmtId="9" fontId="5" fillId="4" borderId="4" xfId="2" applyFont="1" applyFill="1" applyBorder="1" applyAlignment="1">
      <alignment horizontal="right" vertical="top" wrapText="1"/>
    </xf>
    <xf numFmtId="9" fontId="5" fillId="4" borderId="3" xfId="2" applyFont="1" applyFill="1" applyBorder="1" applyAlignment="1">
      <alignment horizontal="right" vertical="top" wrapText="1"/>
    </xf>
    <xf numFmtId="9" fontId="1" fillId="4" borderId="0" xfId="2" applyFill="1"/>
    <xf numFmtId="167" fontId="0" fillId="0" borderId="1" xfId="0" applyNumberFormat="1" applyBorder="1"/>
    <xf numFmtId="2" fontId="0" fillId="0" borderId="1" xfId="0" applyNumberFormat="1" applyBorder="1"/>
    <xf numFmtId="167" fontId="0" fillId="0" borderId="0" xfId="0" applyNumberFormat="1"/>
    <xf numFmtId="0" fontId="3" fillId="0" borderId="6" xfId="0" applyFont="1" applyBorder="1"/>
    <xf numFmtId="0" fontId="2" fillId="0" borderId="0" xfId="0" applyFont="1" applyAlignment="1">
      <alignment horizontal="right" vertical="top" wrapText="1"/>
    </xf>
    <xf numFmtId="169" fontId="5" fillId="4" borderId="1" xfId="2" applyNumberFormat="1" applyFont="1" applyFill="1" applyBorder="1" applyAlignment="1">
      <alignment horizontal="right" vertical="top" wrapText="1"/>
    </xf>
    <xf numFmtId="169" fontId="5" fillId="4" borderId="5" xfId="2" applyNumberFormat="1" applyFont="1" applyFill="1" applyBorder="1" applyAlignment="1">
      <alignment horizontal="right" vertical="top" wrapText="1"/>
    </xf>
    <xf numFmtId="169" fontId="5" fillId="4" borderId="4" xfId="2" applyNumberFormat="1" applyFont="1" applyFill="1" applyBorder="1" applyAlignment="1">
      <alignment horizontal="right" vertical="top" wrapText="1"/>
    </xf>
    <xf numFmtId="169" fontId="5" fillId="4" borderId="3" xfId="2" applyNumberFormat="1" applyFont="1" applyFill="1" applyBorder="1" applyAlignment="1">
      <alignment horizontal="right" vertical="top" wrapText="1"/>
    </xf>
    <xf numFmtId="0" fontId="10" fillId="5" borderId="0" xfId="0" applyFont="1" applyFill="1" applyAlignment="1">
      <alignment horizontal="left" vertical="top" wrapText="1"/>
    </xf>
    <xf numFmtId="0" fontId="11" fillId="5" borderId="0" xfId="0" applyFont="1" applyFill="1" applyAlignment="1">
      <alignment horizontal="left" vertical="top" wrapText="1"/>
    </xf>
    <xf numFmtId="0" fontId="0" fillId="5" borderId="0" xfId="0" applyFill="1" applyAlignment="1">
      <alignment horizontal="left" vertical="top" wrapText="1"/>
    </xf>
    <xf numFmtId="0" fontId="11" fillId="5" borderId="0" xfId="0" applyFont="1" applyFill="1"/>
    <xf numFmtId="0" fontId="13" fillId="5" borderId="0" xfId="0" applyFont="1" applyFill="1" applyAlignment="1">
      <alignment horizontal="left" vertical="top" wrapText="1"/>
    </xf>
    <xf numFmtId="0" fontId="13" fillId="5" borderId="0" xfId="0" applyFont="1" applyFill="1"/>
    <xf numFmtId="168" fontId="0" fillId="4" borderId="0" xfId="0" applyNumberFormat="1" applyFill="1"/>
    <xf numFmtId="169" fontId="1" fillId="4" borderId="0" xfId="2" applyNumberFormat="1" applyFill="1"/>
    <xf numFmtId="170" fontId="0" fillId="4" borderId="0" xfId="0" applyNumberFormat="1" applyFill="1"/>
    <xf numFmtId="170" fontId="0" fillId="0" borderId="0" xfId="0" applyNumberFormat="1"/>
    <xf numFmtId="167" fontId="1" fillId="0" borderId="1" xfId="1" applyNumberFormat="1" applyBorder="1"/>
    <xf numFmtId="168" fontId="0" fillId="0" borderId="0" xfId="0" applyNumberFormat="1"/>
    <xf numFmtId="0" fontId="0" fillId="0" borderId="0" xfId="0" applyAlignment="1">
      <alignment wrapText="1"/>
    </xf>
    <xf numFmtId="0" fontId="3" fillId="3" borderId="7" xfId="0" applyFont="1" applyFill="1" applyBorder="1" applyAlignment="1">
      <alignment horizontal="center"/>
    </xf>
    <xf numFmtId="0" fontId="1" fillId="5" borderId="0" xfId="0" applyFont="1" applyFill="1" applyAlignment="1">
      <alignment horizontal="left" vertical="top" wrapText="1"/>
    </xf>
    <xf numFmtId="0" fontId="3" fillId="0" borderId="0" xfId="0" applyFont="1"/>
    <xf numFmtId="167" fontId="2" fillId="0" borderId="0" xfId="1" applyNumberFormat="1" applyFont="1" applyFill="1" applyBorder="1" applyAlignment="1">
      <alignment horizontal="right" vertical="top" wrapText="1"/>
    </xf>
    <xf numFmtId="0" fontId="1" fillId="0" borderId="0" xfId="0" applyFont="1"/>
    <xf numFmtId="2" fontId="2" fillId="0" borderId="0" xfId="0" applyNumberFormat="1" applyFont="1" applyAlignment="1">
      <alignment horizontal="right" vertical="top" wrapText="1"/>
    </xf>
    <xf numFmtId="0" fontId="3" fillId="6" borderId="0" xfId="0" applyFont="1" applyFill="1"/>
    <xf numFmtId="0" fontId="1" fillId="6" borderId="0" xfId="0" applyFont="1" applyFill="1"/>
    <xf numFmtId="0" fontId="1" fillId="6" borderId="1" xfId="0" applyFont="1" applyFill="1" applyBorder="1"/>
    <xf numFmtId="166" fontId="1" fillId="7" borderId="5" xfId="0" applyNumberFormat="1" applyFont="1" applyFill="1" applyBorder="1"/>
    <xf numFmtId="0" fontId="1" fillId="6" borderId="4" xfId="0" applyFont="1" applyFill="1" applyBorder="1"/>
    <xf numFmtId="166" fontId="1" fillId="7" borderId="3" xfId="0" applyNumberFormat="1" applyFont="1" applyFill="1" applyBorder="1"/>
    <xf numFmtId="165" fontId="1" fillId="0" borderId="6" xfId="0" applyNumberFormat="1" applyFont="1" applyBorder="1" applyAlignment="1">
      <alignment horizontal="right" vertical="top" wrapText="1"/>
    </xf>
    <xf numFmtId="0" fontId="1" fillId="0" borderId="4" xfId="0" applyFont="1" applyBorder="1"/>
    <xf numFmtId="0" fontId="1" fillId="7" borderId="3" xfId="0" applyFont="1" applyFill="1" applyBorder="1"/>
    <xf numFmtId="168" fontId="1" fillId="7" borderId="3" xfId="0" applyNumberFormat="1" applyFont="1" applyFill="1" applyBorder="1" applyAlignment="1">
      <alignment horizontal="right" vertical="top" wrapText="1"/>
    </xf>
    <xf numFmtId="2" fontId="1" fillId="7" borderId="5" xfId="0" applyNumberFormat="1" applyFont="1" applyFill="1" applyBorder="1" applyAlignment="1">
      <alignment horizontal="right" vertical="top" wrapText="1"/>
    </xf>
    <xf numFmtId="2" fontId="1" fillId="7" borderId="3" xfId="0" applyNumberFormat="1" applyFont="1" applyFill="1" applyBorder="1" applyAlignment="1">
      <alignment horizontal="right" vertical="top" wrapText="1"/>
    </xf>
    <xf numFmtId="0" fontId="1" fillId="7" borderId="3" xfId="0" applyFont="1" applyFill="1" applyBorder="1" applyAlignment="1">
      <alignment horizontal="right" vertical="top" wrapText="1"/>
    </xf>
    <xf numFmtId="0" fontId="1" fillId="0" borderId="0" xfId="0" applyFont="1" applyAlignment="1">
      <alignment horizontal="right"/>
    </xf>
    <xf numFmtId="165" fontId="1" fillId="0" borderId="0" xfId="0" applyNumberFormat="1" applyFont="1" applyAlignment="1">
      <alignment horizontal="center"/>
    </xf>
    <xf numFmtId="0" fontId="1" fillId="0" borderId="0" xfId="0" applyFont="1" applyAlignment="1">
      <alignment horizontal="center"/>
    </xf>
    <xf numFmtId="0" fontId="3" fillId="0" borderId="0" xfId="0" applyFont="1" applyAlignment="1">
      <alignment horizontal="center"/>
    </xf>
    <xf numFmtId="0" fontId="14" fillId="0" borderId="0" xfId="0" applyFont="1" applyAlignment="1">
      <alignment horizontal="right"/>
    </xf>
    <xf numFmtId="0" fontId="3" fillId="3" borderId="5" xfId="0" applyFont="1" applyFill="1" applyBorder="1"/>
    <xf numFmtId="0" fontId="3" fillId="3" borderId="1" xfId="0" applyFont="1" applyFill="1" applyBorder="1"/>
    <xf numFmtId="0" fontId="1" fillId="0" borderId="1" xfId="0" applyFont="1" applyBorder="1" applyAlignment="1">
      <alignment horizontal="center"/>
    </xf>
    <xf numFmtId="166" fontId="1" fillId="8" borderId="1" xfId="0" applyNumberFormat="1" applyFont="1" applyFill="1" applyBorder="1"/>
    <xf numFmtId="165" fontId="1" fillId="0" borderId="6" xfId="1" applyNumberFormat="1" applyFont="1" applyFill="1" applyBorder="1" applyAlignment="1">
      <alignment horizontal="right" vertical="top" wrapText="1"/>
    </xf>
    <xf numFmtId="0" fontId="1" fillId="4" borderId="1" xfId="0" applyFont="1" applyFill="1" applyBorder="1"/>
    <xf numFmtId="168" fontId="1" fillId="4" borderId="1" xfId="1" applyNumberFormat="1" applyFont="1" applyFill="1" applyBorder="1" applyAlignment="1">
      <alignment horizontal="right" vertical="top" wrapText="1"/>
    </xf>
    <xf numFmtId="2" fontId="1" fillId="4" borderId="1" xfId="0" applyNumberFormat="1" applyFont="1" applyFill="1" applyBorder="1" applyAlignment="1">
      <alignment horizontal="right" vertical="top" wrapText="1"/>
    </xf>
    <xf numFmtId="0" fontId="1" fillId="4" borderId="1" xfId="0" applyFont="1" applyFill="1" applyBorder="1" applyAlignment="1">
      <alignment horizontal="right" vertical="top" wrapText="1"/>
    </xf>
    <xf numFmtId="9" fontId="0" fillId="0" borderId="0" xfId="0" applyNumberFormat="1"/>
    <xf numFmtId="166" fontId="0" fillId="4" borderId="0" xfId="0" applyNumberFormat="1" applyFill="1"/>
    <xf numFmtId="166" fontId="0" fillId="0" borderId="0" xfId="0" applyNumberFormat="1"/>
    <xf numFmtId="10" fontId="5" fillId="4" borderId="5" xfId="2" applyNumberFormat="1" applyFont="1" applyFill="1" applyBorder="1" applyAlignment="1">
      <alignment horizontal="right" vertical="top" wrapText="1"/>
    </xf>
    <xf numFmtId="171" fontId="1" fillId="4" borderId="0" xfId="2" applyNumberFormat="1" applyFill="1"/>
    <xf numFmtId="0" fontId="7" fillId="2" borderId="0" xfId="0" applyFont="1" applyFill="1" applyAlignment="1">
      <alignment horizontal="center"/>
    </xf>
    <xf numFmtId="0" fontId="0" fillId="0" borderId="7" xfId="0" applyBorder="1" applyAlignment="1">
      <alignment horizontal="center" vertical="center" textRotation="90"/>
    </xf>
    <xf numFmtId="0" fontId="0" fillId="0" borderId="8" xfId="0" applyBorder="1" applyAlignment="1">
      <alignment horizontal="center" vertical="center" textRotation="90"/>
    </xf>
    <xf numFmtId="0" fontId="0" fillId="0" borderId="4" xfId="0" applyBorder="1" applyAlignment="1">
      <alignment horizontal="center" vertical="center" textRotation="90"/>
    </xf>
    <xf numFmtId="0" fontId="0" fillId="0" borderId="1" xfId="0" applyBorder="1" applyAlignment="1">
      <alignment horizontal="center"/>
    </xf>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S56"/>
  <sheetViews>
    <sheetView showGridLines="0" zoomScaleNormal="100" workbookViewId="0">
      <selection activeCell="A16" sqref="A16"/>
    </sheetView>
  </sheetViews>
  <sheetFormatPr defaultColWidth="8.77734375" defaultRowHeight="13.2" x14ac:dyDescent="0.25"/>
  <cols>
    <col min="1" max="1" width="130" customWidth="1"/>
  </cols>
  <sheetData>
    <row r="1" spans="1:19" ht="13.8" x14ac:dyDescent="0.25">
      <c r="A1" s="18" t="s">
        <v>19</v>
      </c>
    </row>
    <row r="2" spans="1:19" ht="13.8" x14ac:dyDescent="0.25">
      <c r="A2" s="19"/>
    </row>
    <row r="3" spans="1:19" ht="41.4" x14ac:dyDescent="0.25">
      <c r="A3" s="19" t="s">
        <v>31</v>
      </c>
    </row>
    <row r="4" spans="1:19" ht="13.8" x14ac:dyDescent="0.25">
      <c r="A4" s="19"/>
    </row>
    <row r="5" spans="1:19" ht="41.4" x14ac:dyDescent="0.25">
      <c r="A5" s="19" t="s">
        <v>32</v>
      </c>
    </row>
    <row r="6" spans="1:19" ht="13.8" x14ac:dyDescent="0.25">
      <c r="A6" s="19"/>
    </row>
    <row r="7" spans="1:19" ht="31.2" customHeight="1" x14ac:dyDescent="0.25">
      <c r="A7" s="19" t="s">
        <v>33</v>
      </c>
    </row>
    <row r="8" spans="1:19" ht="13.8" x14ac:dyDescent="0.25">
      <c r="A8" s="19"/>
    </row>
    <row r="9" spans="1:19" ht="13.8" x14ac:dyDescent="0.25">
      <c r="A9" s="19" t="s">
        <v>24</v>
      </c>
    </row>
    <row r="10" spans="1:19" ht="13.8" x14ac:dyDescent="0.25">
      <c r="A10" s="19"/>
    </row>
    <row r="11" spans="1:19" ht="13.8" x14ac:dyDescent="0.25">
      <c r="A11" s="23" t="s">
        <v>21</v>
      </c>
      <c r="B11" s="19"/>
      <c r="C11" s="19"/>
      <c r="D11" s="19"/>
      <c r="E11" s="19"/>
      <c r="F11" s="19"/>
      <c r="G11" s="19"/>
      <c r="H11" s="19"/>
      <c r="I11" s="19"/>
      <c r="J11" s="19"/>
      <c r="K11" s="19"/>
      <c r="L11" s="19"/>
      <c r="M11" s="19"/>
      <c r="N11" s="19"/>
      <c r="O11" s="19"/>
      <c r="P11" s="19"/>
      <c r="Q11" s="19"/>
      <c r="R11" s="19"/>
      <c r="S11" s="19"/>
    </row>
    <row r="12" spans="1:19" ht="15" customHeight="1" x14ac:dyDescent="0.25">
      <c r="A12" s="19" t="s">
        <v>34</v>
      </c>
      <c r="B12" s="19"/>
      <c r="C12" s="19"/>
      <c r="D12" s="19"/>
      <c r="E12" s="19"/>
      <c r="F12" s="19"/>
      <c r="G12" s="19"/>
      <c r="H12" s="19"/>
      <c r="I12" s="19"/>
      <c r="J12" s="19"/>
      <c r="K12" s="19"/>
      <c r="L12" s="19"/>
      <c r="M12" s="19"/>
      <c r="N12" s="19"/>
      <c r="O12" s="19"/>
      <c r="P12" s="19"/>
      <c r="Q12" s="19"/>
      <c r="R12" s="19"/>
      <c r="S12" s="19"/>
    </row>
    <row r="13" spans="1:19" ht="13.8" x14ac:dyDescent="0.25">
      <c r="A13" s="19" t="s">
        <v>20</v>
      </c>
      <c r="B13" s="20"/>
      <c r="C13" s="20"/>
      <c r="D13" s="20"/>
      <c r="E13" s="20"/>
      <c r="F13" s="20"/>
      <c r="G13" s="20"/>
      <c r="H13" s="20"/>
      <c r="I13" s="20"/>
      <c r="J13" s="20"/>
      <c r="K13" s="20"/>
      <c r="L13" s="20"/>
      <c r="M13" s="20"/>
      <c r="N13" s="20"/>
      <c r="O13" s="20"/>
      <c r="P13" s="20"/>
      <c r="Q13" s="20"/>
      <c r="R13" s="20"/>
      <c r="S13" s="20"/>
    </row>
    <row r="14" spans="1:19" ht="13.8" x14ac:dyDescent="0.25">
      <c r="A14" s="32" t="s">
        <v>35</v>
      </c>
      <c r="B14" s="20"/>
      <c r="C14" s="20"/>
      <c r="D14" s="20"/>
      <c r="E14" s="20"/>
      <c r="F14" s="20"/>
      <c r="G14" s="20"/>
      <c r="H14" s="20"/>
      <c r="I14" s="20"/>
      <c r="J14" s="20"/>
      <c r="K14" s="20"/>
      <c r="L14" s="20"/>
      <c r="M14" s="20"/>
      <c r="N14" s="20"/>
      <c r="O14" s="20"/>
      <c r="P14" s="20"/>
      <c r="Q14" s="20"/>
      <c r="R14" s="20"/>
      <c r="S14" s="20"/>
    </row>
    <row r="15" spans="1:19" ht="13.8" x14ac:dyDescent="0.25">
      <c r="A15" s="32" t="s">
        <v>38</v>
      </c>
      <c r="B15" s="20"/>
      <c r="C15" s="20"/>
      <c r="D15" s="20"/>
      <c r="E15" s="20"/>
      <c r="F15" s="20"/>
      <c r="G15" s="20"/>
      <c r="H15" s="20"/>
      <c r="I15" s="20"/>
      <c r="J15" s="20"/>
      <c r="K15" s="20"/>
      <c r="L15" s="20"/>
      <c r="M15" s="20"/>
      <c r="N15" s="20"/>
      <c r="O15" s="20"/>
      <c r="P15" s="20"/>
      <c r="Q15" s="20"/>
      <c r="R15" s="20"/>
      <c r="S15" s="20"/>
    </row>
    <row r="16" spans="1:19" ht="13.8" x14ac:dyDescent="0.25">
      <c r="B16" s="19"/>
      <c r="C16" s="19"/>
      <c r="D16" s="19"/>
      <c r="E16" s="19"/>
      <c r="F16" s="19"/>
      <c r="G16" s="19"/>
      <c r="H16" s="19"/>
      <c r="I16" s="19"/>
      <c r="J16" s="19"/>
      <c r="K16" s="19"/>
      <c r="L16" s="19"/>
      <c r="M16" s="19"/>
      <c r="N16" s="19"/>
      <c r="O16" s="19"/>
      <c r="P16" s="19"/>
      <c r="Q16" s="19"/>
      <c r="R16" s="19"/>
      <c r="S16" s="19"/>
    </row>
    <row r="17" spans="1:19" ht="13.8" x14ac:dyDescent="0.25">
      <c r="A17" s="22" t="s">
        <v>23</v>
      </c>
      <c r="B17" s="21"/>
      <c r="C17" s="21"/>
      <c r="D17" s="21"/>
      <c r="E17" s="21"/>
      <c r="F17" s="21"/>
      <c r="G17" s="21"/>
      <c r="H17" s="21"/>
      <c r="I17" s="21"/>
      <c r="J17" s="21"/>
      <c r="K17" s="21"/>
      <c r="L17" s="21"/>
      <c r="M17" s="21"/>
      <c r="N17" s="21"/>
      <c r="O17" s="21"/>
      <c r="P17" s="21"/>
      <c r="Q17" s="21"/>
      <c r="R17" s="21"/>
      <c r="S17" s="21"/>
    </row>
    <row r="18" spans="1:19" ht="13.8" x14ac:dyDescent="0.25">
      <c r="A18" s="19"/>
      <c r="B18" s="21"/>
      <c r="C18" s="21"/>
      <c r="D18" s="21"/>
      <c r="E18" s="21"/>
      <c r="F18" s="21"/>
      <c r="G18" s="21"/>
      <c r="H18" s="21"/>
      <c r="I18" s="21"/>
      <c r="J18" s="21"/>
      <c r="K18" s="21"/>
      <c r="L18" s="21"/>
      <c r="M18" s="21"/>
      <c r="N18" s="21"/>
      <c r="O18" s="21"/>
      <c r="P18" s="21"/>
      <c r="Q18" s="21"/>
      <c r="R18" s="21"/>
      <c r="S18" s="21"/>
    </row>
    <row r="19" spans="1:19" ht="30" customHeight="1" x14ac:dyDescent="0.25">
      <c r="A19" s="19" t="s">
        <v>37</v>
      </c>
      <c r="B19" s="19"/>
      <c r="C19" s="19"/>
      <c r="D19" s="19"/>
      <c r="E19" s="19"/>
      <c r="F19" s="19"/>
      <c r="G19" s="19"/>
      <c r="H19" s="19"/>
      <c r="I19" s="19"/>
      <c r="J19" s="19"/>
      <c r="K19" s="19"/>
      <c r="L19" s="19"/>
      <c r="M19" s="19"/>
      <c r="N19" s="19"/>
      <c r="O19" s="19"/>
      <c r="P19" s="19"/>
      <c r="Q19" s="19"/>
      <c r="R19" s="19"/>
      <c r="S19" s="19"/>
    </row>
    <row r="20" spans="1:19" ht="13.8" x14ac:dyDescent="0.25">
      <c r="A20" s="19" t="s">
        <v>36</v>
      </c>
      <c r="B20" s="19"/>
      <c r="C20" s="19"/>
      <c r="D20" s="19"/>
      <c r="E20" s="19"/>
      <c r="F20" s="19"/>
      <c r="G20" s="19"/>
      <c r="H20" s="19"/>
      <c r="I20" s="19"/>
      <c r="J20" s="19"/>
      <c r="K20" s="19"/>
      <c r="L20" s="19"/>
      <c r="M20" s="19"/>
      <c r="N20" s="19"/>
      <c r="O20" s="19"/>
      <c r="P20" s="19"/>
      <c r="Q20" s="19"/>
      <c r="R20" s="19"/>
      <c r="S20" s="19"/>
    </row>
    <row r="21" spans="1:19" ht="13.8" x14ac:dyDescent="0.25">
      <c r="B21" s="19"/>
      <c r="C21" s="19"/>
      <c r="D21" s="19"/>
      <c r="E21" s="19"/>
      <c r="F21" s="19"/>
      <c r="G21" s="19"/>
      <c r="H21" s="19"/>
      <c r="I21" s="19"/>
      <c r="J21" s="19"/>
      <c r="K21" s="19"/>
      <c r="L21" s="19"/>
      <c r="M21" s="19"/>
      <c r="N21" s="19"/>
      <c r="O21" s="19"/>
      <c r="P21" s="19"/>
      <c r="Q21" s="19"/>
      <c r="R21" s="19"/>
      <c r="S21" s="19"/>
    </row>
    <row r="22" spans="1:19" ht="13.8" x14ac:dyDescent="0.25">
      <c r="A22" s="21"/>
      <c r="B22" s="20"/>
      <c r="C22" s="20"/>
      <c r="D22" s="20"/>
      <c r="E22" s="20"/>
      <c r="F22" s="20"/>
      <c r="G22" s="20"/>
      <c r="H22" s="20"/>
      <c r="I22" s="20"/>
      <c r="J22" s="20"/>
      <c r="K22" s="20"/>
      <c r="L22" s="20"/>
      <c r="M22" s="20"/>
      <c r="N22" s="20"/>
      <c r="O22" s="20"/>
      <c r="P22" s="20"/>
      <c r="Q22" s="20"/>
      <c r="R22" s="20"/>
      <c r="S22" s="20"/>
    </row>
    <row r="23" spans="1:19" ht="13.8" x14ac:dyDescent="0.25">
      <c r="B23" s="19"/>
      <c r="C23" s="19"/>
      <c r="D23" s="19"/>
      <c r="E23" s="19"/>
      <c r="F23" s="19"/>
      <c r="G23" s="19"/>
      <c r="H23" s="19"/>
      <c r="I23" s="19"/>
      <c r="J23" s="19"/>
      <c r="K23" s="19"/>
      <c r="L23" s="19"/>
      <c r="M23" s="19"/>
      <c r="N23" s="19"/>
      <c r="O23" s="19"/>
      <c r="P23" s="19"/>
      <c r="Q23" s="19"/>
      <c r="R23" s="19"/>
      <c r="S23" s="19"/>
    </row>
    <row r="24" spans="1:19" ht="13.8" x14ac:dyDescent="0.25">
      <c r="B24" s="21"/>
      <c r="C24" s="21"/>
      <c r="D24" s="21"/>
      <c r="E24" s="21"/>
      <c r="F24" s="21"/>
      <c r="G24" s="21"/>
      <c r="H24" s="21"/>
      <c r="I24" s="21"/>
      <c r="J24" s="21"/>
      <c r="K24" s="21"/>
      <c r="L24" s="21"/>
      <c r="M24" s="21"/>
      <c r="N24" s="21"/>
      <c r="O24" s="21"/>
      <c r="P24" s="21"/>
      <c r="Q24" s="21"/>
      <c r="R24" s="21"/>
      <c r="S24" s="21"/>
    </row>
    <row r="25" spans="1:19" ht="13.8" x14ac:dyDescent="0.25">
      <c r="B25" s="21"/>
      <c r="C25" s="21"/>
      <c r="D25" s="21"/>
      <c r="E25" s="21"/>
      <c r="F25" s="21"/>
      <c r="G25" s="21"/>
      <c r="H25" s="21"/>
      <c r="I25" s="21"/>
      <c r="J25" s="21"/>
      <c r="K25" s="21"/>
      <c r="L25" s="21"/>
      <c r="M25" s="21"/>
      <c r="N25" s="21"/>
      <c r="O25" s="21"/>
      <c r="P25" s="21"/>
      <c r="Q25" s="21"/>
      <c r="R25" s="21"/>
      <c r="S25" s="21"/>
    </row>
    <row r="26" spans="1:19" ht="13.8" x14ac:dyDescent="0.25">
      <c r="B26" s="30"/>
      <c r="C26" s="30"/>
      <c r="D26" s="30"/>
      <c r="E26" s="30"/>
      <c r="F26" s="30"/>
      <c r="G26" s="30"/>
      <c r="H26" s="30"/>
      <c r="I26" s="30"/>
      <c r="J26" s="30"/>
      <c r="K26" s="30"/>
      <c r="L26" s="30"/>
      <c r="M26" s="30"/>
      <c r="N26" s="30"/>
      <c r="O26" s="19"/>
      <c r="P26" s="19"/>
      <c r="Q26" s="19"/>
      <c r="R26" s="19"/>
      <c r="S26" s="19"/>
    </row>
    <row r="27" spans="1:19" ht="13.8" x14ac:dyDescent="0.25">
      <c r="B27" s="19"/>
      <c r="C27" s="19"/>
      <c r="D27" s="19"/>
      <c r="E27" s="19"/>
      <c r="F27" s="19"/>
      <c r="G27" s="19"/>
      <c r="H27" s="19"/>
      <c r="I27" s="19"/>
      <c r="J27" s="19"/>
      <c r="K27" s="19"/>
      <c r="L27" s="19"/>
      <c r="M27" s="19"/>
      <c r="N27" s="19"/>
      <c r="O27" s="19"/>
      <c r="P27" s="19"/>
      <c r="Q27" s="19"/>
      <c r="R27" s="19"/>
      <c r="S27" s="19"/>
    </row>
    <row r="28" spans="1:19" ht="13.8" x14ac:dyDescent="0.25">
      <c r="B28" s="19"/>
      <c r="C28" s="19"/>
      <c r="D28" s="19"/>
      <c r="E28" s="19"/>
      <c r="F28" s="19"/>
      <c r="G28" s="19"/>
      <c r="H28" s="19"/>
      <c r="I28" s="19"/>
      <c r="J28" s="19"/>
      <c r="K28" s="19"/>
      <c r="L28" s="19"/>
      <c r="M28" s="19"/>
      <c r="N28" s="19"/>
      <c r="O28" s="19"/>
      <c r="P28" s="19"/>
      <c r="Q28" s="19"/>
      <c r="R28" s="19"/>
      <c r="S28" s="19"/>
    </row>
    <row r="29" spans="1:19" ht="13.8" x14ac:dyDescent="0.25">
      <c r="A29" s="21"/>
      <c r="B29" s="20"/>
      <c r="C29" s="20"/>
      <c r="D29" s="20"/>
      <c r="E29" s="20"/>
      <c r="F29" s="20"/>
      <c r="G29" s="20"/>
      <c r="H29" s="20"/>
      <c r="I29" s="20"/>
      <c r="J29" s="20"/>
      <c r="K29" s="20"/>
      <c r="L29" s="20"/>
      <c r="M29" s="20"/>
      <c r="N29" s="20"/>
      <c r="O29" s="20"/>
      <c r="P29" s="20"/>
      <c r="Q29" s="20"/>
      <c r="R29" s="20"/>
      <c r="S29" s="20"/>
    </row>
    <row r="30" spans="1:19" ht="13.8" x14ac:dyDescent="0.25">
      <c r="A30" s="21"/>
      <c r="B30" s="19"/>
      <c r="C30" s="19"/>
      <c r="D30" s="19"/>
      <c r="E30" s="19"/>
      <c r="F30" s="19"/>
      <c r="G30" s="19"/>
      <c r="H30" s="19"/>
      <c r="I30" s="19"/>
      <c r="J30" s="19"/>
      <c r="K30" s="19"/>
      <c r="L30" s="19"/>
      <c r="M30" s="19"/>
      <c r="N30" s="19"/>
      <c r="O30" s="19"/>
      <c r="P30" s="19"/>
      <c r="Q30" s="19"/>
      <c r="R30" s="19"/>
      <c r="S30" s="19"/>
    </row>
    <row r="31" spans="1:19" ht="13.8" x14ac:dyDescent="0.25">
      <c r="A31" s="19"/>
      <c r="B31" s="21"/>
      <c r="C31" s="21"/>
      <c r="D31" s="21"/>
      <c r="E31" s="21"/>
      <c r="F31" s="21"/>
      <c r="G31" s="21"/>
      <c r="H31" s="21"/>
      <c r="I31" s="21"/>
      <c r="J31" s="21"/>
      <c r="K31" s="21"/>
      <c r="L31" s="21"/>
      <c r="M31" s="21"/>
      <c r="N31" s="21"/>
      <c r="O31" s="21"/>
      <c r="P31" s="21"/>
      <c r="Q31" s="21"/>
      <c r="R31" s="21"/>
      <c r="S31" s="21"/>
    </row>
    <row r="32" spans="1:19" ht="13.8" x14ac:dyDescent="0.25">
      <c r="A32" s="19"/>
      <c r="B32" s="21"/>
      <c r="C32" s="21"/>
      <c r="D32" s="21"/>
      <c r="E32" s="21"/>
      <c r="F32" s="21"/>
      <c r="G32" s="21"/>
      <c r="H32" s="21"/>
      <c r="I32" s="21"/>
      <c r="J32" s="21"/>
      <c r="K32" s="21"/>
      <c r="L32" s="21"/>
      <c r="M32" s="21"/>
      <c r="N32" s="21"/>
      <c r="O32" s="21"/>
      <c r="P32" s="21"/>
      <c r="Q32" s="21"/>
      <c r="R32" s="21"/>
      <c r="S32" s="21"/>
    </row>
    <row r="33" spans="1:19" ht="13.8" x14ac:dyDescent="0.25">
      <c r="A33" s="19"/>
      <c r="B33" s="19"/>
      <c r="C33" s="19"/>
      <c r="D33" s="19"/>
      <c r="E33" s="19"/>
      <c r="F33" s="19"/>
      <c r="G33" s="19"/>
      <c r="H33" s="19"/>
      <c r="I33" s="19"/>
      <c r="J33" s="19"/>
      <c r="K33" s="19"/>
      <c r="L33" s="19"/>
      <c r="M33" s="19"/>
      <c r="N33" s="19"/>
      <c r="O33" s="19"/>
      <c r="P33" s="19"/>
      <c r="Q33" s="19"/>
      <c r="R33" s="19"/>
      <c r="S33" s="19"/>
    </row>
    <row r="34" spans="1:19" ht="13.8" x14ac:dyDescent="0.25">
      <c r="A34" s="20"/>
      <c r="B34" s="19"/>
      <c r="C34" s="19"/>
      <c r="D34" s="19"/>
      <c r="E34" s="19"/>
      <c r="F34" s="19"/>
      <c r="G34" s="19"/>
      <c r="H34" s="19"/>
      <c r="I34" s="19"/>
      <c r="J34" s="19"/>
      <c r="K34" s="19"/>
      <c r="L34" s="19"/>
      <c r="M34" s="19"/>
      <c r="N34" s="19"/>
      <c r="O34" s="19"/>
      <c r="P34" s="19"/>
      <c r="Q34" s="19"/>
      <c r="R34" s="19"/>
      <c r="S34" s="19"/>
    </row>
    <row r="35" spans="1:19" ht="13.8" x14ac:dyDescent="0.25">
      <c r="A35" s="19"/>
      <c r="B35" s="19"/>
      <c r="C35" s="19"/>
      <c r="D35" s="19"/>
      <c r="E35" s="19"/>
      <c r="F35" s="19"/>
      <c r="G35" s="19"/>
      <c r="H35" s="19"/>
      <c r="I35" s="19"/>
      <c r="J35" s="19"/>
      <c r="K35" s="19"/>
      <c r="L35" s="19"/>
      <c r="M35" s="19"/>
      <c r="N35" s="19"/>
      <c r="O35" s="19"/>
      <c r="P35" s="19"/>
      <c r="Q35" s="19"/>
      <c r="R35" s="19"/>
      <c r="S35" s="19"/>
    </row>
    <row r="36" spans="1:19" ht="13.8" x14ac:dyDescent="0.25">
      <c r="A36" s="21"/>
      <c r="B36" s="20"/>
      <c r="C36" s="20"/>
      <c r="D36" s="20"/>
      <c r="E36" s="20"/>
      <c r="F36" s="20"/>
      <c r="G36" s="20"/>
      <c r="H36" s="20"/>
      <c r="I36" s="20"/>
      <c r="J36" s="20"/>
      <c r="K36" s="20"/>
      <c r="L36" s="20"/>
      <c r="M36" s="20"/>
      <c r="N36" s="20"/>
      <c r="O36" s="20"/>
      <c r="P36" s="20"/>
      <c r="Q36" s="20"/>
      <c r="R36" s="20"/>
      <c r="S36" s="20"/>
    </row>
    <row r="37" spans="1:19" ht="13.8" x14ac:dyDescent="0.25">
      <c r="A37" s="21"/>
      <c r="B37" s="19"/>
      <c r="C37" s="19"/>
      <c r="D37" s="19"/>
      <c r="E37" s="19"/>
      <c r="F37" s="19"/>
      <c r="G37" s="19"/>
      <c r="H37" s="19"/>
      <c r="I37" s="19"/>
      <c r="J37" s="19"/>
      <c r="K37" s="19"/>
      <c r="L37" s="19"/>
      <c r="M37" s="19"/>
      <c r="N37" s="19"/>
      <c r="O37" s="19"/>
      <c r="P37" s="19"/>
      <c r="Q37" s="19"/>
      <c r="R37" s="19"/>
      <c r="S37" s="19"/>
    </row>
    <row r="38" spans="1:19" ht="13.8" x14ac:dyDescent="0.25">
      <c r="A38" s="19"/>
      <c r="B38" s="21"/>
      <c r="C38" s="21"/>
      <c r="D38" s="21"/>
      <c r="E38" s="21"/>
      <c r="F38" s="21"/>
      <c r="G38" s="21"/>
      <c r="H38" s="21"/>
      <c r="I38" s="21"/>
      <c r="J38" s="21"/>
      <c r="K38" s="21"/>
      <c r="L38" s="21"/>
      <c r="M38" s="21"/>
      <c r="N38" s="21"/>
      <c r="O38" s="21"/>
      <c r="P38" s="21"/>
      <c r="Q38" s="21"/>
      <c r="R38" s="21"/>
      <c r="S38" s="21"/>
    </row>
    <row r="39" spans="1:19" ht="13.8" x14ac:dyDescent="0.25">
      <c r="A39" s="19"/>
      <c r="B39" s="21"/>
      <c r="C39" s="21"/>
      <c r="D39" s="21"/>
      <c r="E39" s="21"/>
      <c r="F39" s="21"/>
      <c r="G39" s="21"/>
      <c r="H39" s="21"/>
      <c r="I39" s="21"/>
      <c r="J39" s="21"/>
      <c r="K39" s="21"/>
      <c r="L39" s="21"/>
      <c r="M39" s="21"/>
      <c r="N39" s="21"/>
      <c r="O39" s="21"/>
      <c r="P39" s="21"/>
      <c r="Q39" s="21"/>
      <c r="R39" s="21"/>
      <c r="S39" s="21"/>
    </row>
    <row r="40" spans="1:19" ht="13.8" x14ac:dyDescent="0.25">
      <c r="A40" s="19"/>
      <c r="B40" s="19"/>
      <c r="C40" s="19"/>
      <c r="D40" s="19"/>
      <c r="E40" s="19"/>
      <c r="F40" s="19"/>
      <c r="G40" s="19"/>
      <c r="H40" s="19"/>
      <c r="I40" s="19"/>
      <c r="J40" s="19"/>
      <c r="K40" s="19"/>
      <c r="L40" s="19"/>
      <c r="M40" s="19"/>
      <c r="N40" s="19"/>
      <c r="O40" s="19"/>
      <c r="P40" s="19"/>
      <c r="Q40" s="19"/>
      <c r="R40" s="19"/>
      <c r="S40" s="19"/>
    </row>
    <row r="41" spans="1:19" ht="13.8" x14ac:dyDescent="0.25">
      <c r="A41" s="20"/>
      <c r="B41" s="19"/>
      <c r="C41" s="19"/>
      <c r="D41" s="19"/>
      <c r="E41" s="19"/>
      <c r="F41" s="19"/>
      <c r="G41" s="19"/>
      <c r="H41" s="19"/>
      <c r="I41" s="19"/>
      <c r="J41" s="19"/>
      <c r="K41" s="19"/>
      <c r="L41" s="19"/>
      <c r="M41" s="19"/>
      <c r="N41" s="19"/>
      <c r="O41" s="19"/>
      <c r="P41" s="19"/>
      <c r="Q41" s="19"/>
      <c r="R41" s="19"/>
      <c r="S41" s="19"/>
    </row>
    <row r="42" spans="1:19" ht="13.8" x14ac:dyDescent="0.25">
      <c r="A42" s="19"/>
      <c r="B42" s="19"/>
      <c r="C42" s="19"/>
      <c r="D42" s="19"/>
      <c r="E42" s="19"/>
      <c r="F42" s="19"/>
      <c r="G42" s="19"/>
      <c r="H42" s="19"/>
      <c r="I42" s="19"/>
      <c r="J42" s="19"/>
      <c r="K42" s="19"/>
      <c r="L42" s="19"/>
      <c r="M42" s="19"/>
      <c r="N42" s="19"/>
      <c r="O42" s="19"/>
      <c r="P42" s="19"/>
      <c r="Q42" s="19"/>
      <c r="R42" s="19"/>
      <c r="S42" s="19"/>
    </row>
    <row r="43" spans="1:19" ht="13.8" x14ac:dyDescent="0.25">
      <c r="A43" s="21"/>
      <c r="B43" s="20"/>
      <c r="C43" s="20"/>
      <c r="D43" s="20"/>
      <c r="E43" s="20"/>
      <c r="F43" s="20"/>
      <c r="G43" s="20"/>
      <c r="H43" s="20"/>
      <c r="I43" s="20"/>
      <c r="J43" s="20"/>
      <c r="K43" s="20"/>
      <c r="L43" s="20"/>
      <c r="M43" s="20"/>
      <c r="N43" s="20"/>
      <c r="O43" s="20"/>
      <c r="P43" s="20"/>
      <c r="Q43" s="20"/>
      <c r="R43" s="20"/>
      <c r="S43" s="20"/>
    </row>
    <row r="44" spans="1:19" ht="13.8" x14ac:dyDescent="0.25">
      <c r="A44" s="21"/>
      <c r="B44" s="19"/>
      <c r="C44" s="19"/>
      <c r="D44" s="19"/>
      <c r="E44" s="19"/>
      <c r="F44" s="19"/>
      <c r="G44" s="19"/>
      <c r="H44" s="19"/>
      <c r="I44" s="19"/>
      <c r="J44" s="19"/>
      <c r="K44" s="19"/>
      <c r="L44" s="19"/>
      <c r="M44" s="19"/>
      <c r="N44" s="19"/>
      <c r="O44" s="19"/>
      <c r="P44" s="19"/>
      <c r="Q44" s="19"/>
      <c r="R44" s="19"/>
      <c r="S44" s="19"/>
    </row>
    <row r="45" spans="1:19" ht="13.8" x14ac:dyDescent="0.25">
      <c r="A45" s="19"/>
      <c r="B45" s="21"/>
      <c r="C45" s="21"/>
      <c r="D45" s="21"/>
      <c r="E45" s="21"/>
      <c r="F45" s="21"/>
      <c r="G45" s="21"/>
      <c r="H45" s="21"/>
      <c r="I45" s="21"/>
      <c r="J45" s="21"/>
      <c r="K45" s="21"/>
      <c r="L45" s="21"/>
      <c r="M45" s="21"/>
      <c r="N45" s="21"/>
      <c r="O45" s="21"/>
      <c r="P45" s="21"/>
      <c r="Q45" s="21"/>
      <c r="R45" s="21"/>
      <c r="S45" s="21"/>
    </row>
    <row r="46" spans="1:19" ht="13.8" x14ac:dyDescent="0.25">
      <c r="A46" s="19"/>
      <c r="B46" s="21"/>
      <c r="C46" s="21"/>
      <c r="D46" s="21"/>
      <c r="E46" s="21"/>
      <c r="F46" s="21"/>
      <c r="G46" s="21"/>
      <c r="H46" s="21"/>
      <c r="I46" s="21"/>
      <c r="J46" s="21"/>
      <c r="K46" s="21"/>
      <c r="L46" s="21"/>
      <c r="M46" s="21"/>
      <c r="N46" s="21"/>
      <c r="O46" s="21"/>
      <c r="P46" s="21"/>
      <c r="Q46" s="21"/>
      <c r="R46" s="21"/>
      <c r="S46" s="21"/>
    </row>
    <row r="47" spans="1:19" ht="13.8" x14ac:dyDescent="0.25">
      <c r="A47" s="19"/>
      <c r="B47" s="19"/>
      <c r="C47" s="19"/>
      <c r="D47" s="19"/>
      <c r="E47" s="19"/>
      <c r="F47" s="19"/>
      <c r="G47" s="19"/>
      <c r="H47" s="19"/>
      <c r="I47" s="19"/>
      <c r="J47" s="19"/>
      <c r="K47" s="19"/>
      <c r="L47" s="19"/>
      <c r="M47" s="19"/>
      <c r="N47" s="19"/>
      <c r="O47" s="19"/>
      <c r="P47" s="19"/>
      <c r="Q47" s="19"/>
      <c r="R47" s="19"/>
      <c r="S47" s="19"/>
    </row>
    <row r="48" spans="1:19" ht="13.8" x14ac:dyDescent="0.25">
      <c r="A48" s="20"/>
      <c r="B48" s="19"/>
      <c r="C48" s="19"/>
      <c r="D48" s="19"/>
      <c r="E48" s="19"/>
      <c r="F48" s="19"/>
      <c r="G48" s="19"/>
      <c r="H48" s="19"/>
      <c r="I48" s="19"/>
      <c r="J48" s="19"/>
      <c r="K48" s="19"/>
      <c r="L48" s="19"/>
      <c r="M48" s="19"/>
      <c r="N48" s="19"/>
      <c r="O48" s="19"/>
      <c r="P48" s="19"/>
      <c r="Q48" s="19"/>
      <c r="R48" s="19"/>
      <c r="S48" s="19"/>
    </row>
    <row r="49" spans="1:19" ht="13.8" x14ac:dyDescent="0.25">
      <c r="A49" s="19"/>
      <c r="B49" s="19"/>
      <c r="C49" s="19"/>
      <c r="D49" s="19"/>
      <c r="E49" s="19"/>
      <c r="F49" s="19"/>
      <c r="G49" s="19"/>
      <c r="H49" s="19"/>
      <c r="I49" s="19"/>
      <c r="J49" s="19"/>
      <c r="K49" s="19"/>
      <c r="L49" s="19"/>
      <c r="M49" s="19"/>
      <c r="N49" s="19"/>
      <c r="O49" s="19"/>
      <c r="P49" s="19"/>
      <c r="Q49" s="19"/>
      <c r="R49" s="19"/>
      <c r="S49" s="19"/>
    </row>
    <row r="50" spans="1:19" ht="13.8" x14ac:dyDescent="0.25">
      <c r="A50" s="21"/>
      <c r="B50" s="20"/>
      <c r="C50" s="20"/>
      <c r="D50" s="20"/>
      <c r="E50" s="20"/>
      <c r="F50" s="20"/>
      <c r="G50" s="20"/>
      <c r="H50" s="20"/>
      <c r="I50" s="20"/>
      <c r="J50" s="20"/>
      <c r="K50" s="20"/>
      <c r="L50" s="20"/>
      <c r="M50" s="20"/>
      <c r="N50" s="20"/>
      <c r="O50" s="20"/>
      <c r="P50" s="20"/>
      <c r="Q50" s="20"/>
      <c r="R50" s="20"/>
      <c r="S50" s="20"/>
    </row>
    <row r="51" spans="1:19" ht="13.8" x14ac:dyDescent="0.25">
      <c r="A51" s="21"/>
      <c r="B51" s="19"/>
      <c r="C51" s="19"/>
      <c r="D51" s="19"/>
      <c r="E51" s="19"/>
      <c r="F51" s="19"/>
      <c r="G51" s="19"/>
      <c r="H51" s="19"/>
      <c r="I51" s="19"/>
      <c r="J51" s="19"/>
      <c r="K51" s="19"/>
      <c r="L51" s="19"/>
      <c r="M51" s="19"/>
      <c r="N51" s="19"/>
      <c r="O51" s="19"/>
      <c r="P51" s="19"/>
      <c r="Q51" s="19"/>
      <c r="R51" s="19"/>
      <c r="S51" s="19"/>
    </row>
    <row r="52" spans="1:19" ht="13.8" x14ac:dyDescent="0.25">
      <c r="A52" s="19"/>
    </row>
    <row r="53" spans="1:19" ht="13.8" x14ac:dyDescent="0.25">
      <c r="A53" s="19"/>
    </row>
    <row r="54" spans="1:19" ht="13.8" x14ac:dyDescent="0.25">
      <c r="A54" s="19"/>
    </row>
    <row r="55" spans="1:19" x14ac:dyDescent="0.25">
      <c r="A55" s="20"/>
    </row>
    <row r="56" spans="1:19" ht="13.8" x14ac:dyDescent="0.25">
      <c r="A56" s="19"/>
    </row>
  </sheetData>
  <phoneticPr fontId="9"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EE7BC-6F7F-F540-B4BF-5DC87DF28CF6}">
  <dimension ref="B3:V54"/>
  <sheetViews>
    <sheetView showGridLines="0" tabSelected="1" topLeftCell="A3" zoomScale="70" zoomScaleNormal="70" workbookViewId="0">
      <selection activeCell="J10" sqref="J10"/>
    </sheetView>
  </sheetViews>
  <sheetFormatPr defaultColWidth="11.5546875" defaultRowHeight="13.2" x14ac:dyDescent="0.25"/>
  <cols>
    <col min="1" max="1" width="3.44140625" customWidth="1"/>
    <col min="2" max="2" width="21.109375" customWidth="1"/>
    <col min="3" max="3" width="13.44140625" customWidth="1"/>
    <col min="5" max="5" width="6.44140625" customWidth="1"/>
    <col min="6" max="6" width="11.6640625" customWidth="1"/>
    <col min="8" max="8" width="13.6640625" customWidth="1"/>
    <col min="15" max="15" width="5" customWidth="1"/>
    <col min="19" max="19" width="24.77734375" customWidth="1"/>
    <col min="22" max="22" width="12.6640625" customWidth="1"/>
  </cols>
  <sheetData>
    <row r="3" spans="2:17" ht="19.05" customHeight="1" x14ac:dyDescent="0.45">
      <c r="F3" s="69" t="s">
        <v>13</v>
      </c>
      <c r="G3" s="69"/>
      <c r="H3" s="69"/>
    </row>
    <row r="5" spans="2:17" x14ac:dyDescent="0.25">
      <c r="E5" s="70" t="s">
        <v>0</v>
      </c>
      <c r="F5" s="73" t="s">
        <v>1</v>
      </c>
      <c r="G5" s="73"/>
      <c r="H5" s="73"/>
      <c r="I5" s="73"/>
      <c r="K5" s="53" t="s">
        <v>3</v>
      </c>
      <c r="L5" s="53" t="s">
        <v>14</v>
      </c>
      <c r="M5" s="53" t="s">
        <v>15</v>
      </c>
      <c r="N5" s="53" t="s">
        <v>2</v>
      </c>
      <c r="O5" s="53"/>
      <c r="P5" s="53" t="s">
        <v>8</v>
      </c>
      <c r="Q5" s="53" t="s">
        <v>9</v>
      </c>
    </row>
    <row r="6" spans="2:17" x14ac:dyDescent="0.25">
      <c r="E6" s="71"/>
      <c r="F6" s="1" t="s">
        <v>10</v>
      </c>
      <c r="G6" s="1" t="s">
        <v>14</v>
      </c>
      <c r="H6" s="1" t="s">
        <v>15</v>
      </c>
      <c r="I6" s="1" t="s">
        <v>2</v>
      </c>
      <c r="K6" s="50" t="s">
        <v>40</v>
      </c>
      <c r="L6" s="8"/>
      <c r="M6" s="8"/>
      <c r="N6" s="8"/>
      <c r="P6" s="51" t="s">
        <v>16</v>
      </c>
      <c r="Q6" s="52" t="s">
        <v>16</v>
      </c>
    </row>
    <row r="7" spans="2:17" x14ac:dyDescent="0.25">
      <c r="E7" s="71"/>
      <c r="F7" s="1" t="s">
        <v>14</v>
      </c>
      <c r="G7" s="14"/>
      <c r="H7" s="15"/>
      <c r="I7" s="15"/>
      <c r="K7">
        <v>1</v>
      </c>
      <c r="L7" s="25"/>
      <c r="M7" s="25"/>
      <c r="N7" s="25"/>
      <c r="P7" s="24"/>
      <c r="Q7" s="26"/>
    </row>
    <row r="8" spans="2:17" x14ac:dyDescent="0.25">
      <c r="E8" s="71"/>
      <c r="F8" s="1" t="s">
        <v>15</v>
      </c>
      <c r="G8" s="16"/>
      <c r="H8" s="17"/>
      <c r="I8" s="15"/>
      <c r="K8">
        <v>2</v>
      </c>
      <c r="L8" s="25"/>
      <c r="M8" s="25"/>
      <c r="N8" s="25"/>
      <c r="P8" s="24"/>
      <c r="Q8" s="26"/>
    </row>
    <row r="9" spans="2:17" x14ac:dyDescent="0.25">
      <c r="E9" s="72"/>
      <c r="F9" s="1" t="s">
        <v>2</v>
      </c>
      <c r="G9" s="16"/>
      <c r="H9" s="17"/>
      <c r="I9" s="17"/>
      <c r="K9">
        <v>3</v>
      </c>
      <c r="L9" s="25"/>
      <c r="M9" s="25"/>
      <c r="N9" s="25"/>
      <c r="P9" s="24"/>
      <c r="Q9" s="26"/>
    </row>
    <row r="10" spans="2:17" x14ac:dyDescent="0.25">
      <c r="K10">
        <v>4</v>
      </c>
      <c r="L10" s="25"/>
      <c r="M10" s="25"/>
      <c r="N10" s="25"/>
      <c r="P10" s="24"/>
      <c r="Q10" s="26"/>
    </row>
    <row r="11" spans="2:17" x14ac:dyDescent="0.25">
      <c r="B11" s="37" t="s">
        <v>18</v>
      </c>
      <c r="C11" s="38"/>
      <c r="K11">
        <v>5</v>
      </c>
      <c r="L11" s="25"/>
      <c r="M11" s="25"/>
      <c r="N11" s="25"/>
      <c r="P11" s="24"/>
      <c r="Q11" s="26"/>
    </row>
    <row r="12" spans="2:17" x14ac:dyDescent="0.25">
      <c r="B12" s="39" t="s">
        <v>26</v>
      </c>
      <c r="C12" s="40"/>
      <c r="K12">
        <v>6</v>
      </c>
      <c r="L12" s="25"/>
      <c r="M12" s="25"/>
      <c r="N12" s="25"/>
      <c r="P12" s="24"/>
      <c r="Q12" s="26"/>
    </row>
    <row r="13" spans="2:17" x14ac:dyDescent="0.25">
      <c r="B13" s="41" t="s">
        <v>27</v>
      </c>
      <c r="C13" s="42"/>
      <c r="K13">
        <v>7</v>
      </c>
      <c r="L13" s="25"/>
      <c r="M13" s="25"/>
      <c r="N13" s="25"/>
      <c r="P13" s="24"/>
      <c r="Q13" s="26"/>
    </row>
    <row r="14" spans="2:17" x14ac:dyDescent="0.25">
      <c r="B14" s="41" t="s">
        <v>28</v>
      </c>
      <c r="C14" s="42"/>
      <c r="K14">
        <v>8</v>
      </c>
      <c r="L14" s="25"/>
      <c r="M14" s="25"/>
      <c r="N14" s="25"/>
      <c r="P14" s="24"/>
      <c r="Q14" s="26"/>
    </row>
    <row r="15" spans="2:17" x14ac:dyDescent="0.25">
      <c r="B15" s="41" t="s">
        <v>29</v>
      </c>
      <c r="C15" s="42"/>
      <c r="K15">
        <v>9</v>
      </c>
      <c r="L15" s="25"/>
      <c r="M15" s="25"/>
      <c r="N15" s="25"/>
      <c r="P15" s="24"/>
      <c r="Q15" s="26"/>
    </row>
    <row r="16" spans="2:17" x14ac:dyDescent="0.25">
      <c r="B16" s="12" t="s">
        <v>4</v>
      </c>
      <c r="C16" s="43"/>
      <c r="K16">
        <v>10</v>
      </c>
      <c r="L16" s="25"/>
      <c r="M16" s="25"/>
      <c r="N16" s="25"/>
      <c r="P16" s="24"/>
      <c r="Q16" s="26"/>
    </row>
    <row r="17" spans="2:22" x14ac:dyDescent="0.25">
      <c r="B17" s="44" t="s">
        <v>14</v>
      </c>
      <c r="C17" s="45"/>
      <c r="K17">
        <v>11</v>
      </c>
      <c r="L17" s="25"/>
      <c r="M17" s="25"/>
      <c r="N17" s="25"/>
      <c r="P17" s="24"/>
      <c r="Q17" s="26"/>
    </row>
    <row r="18" spans="2:22" x14ac:dyDescent="0.25">
      <c r="B18" s="44" t="s">
        <v>15</v>
      </c>
      <c r="C18" s="46"/>
      <c r="K18">
        <v>12</v>
      </c>
      <c r="L18" s="25"/>
      <c r="M18" s="25"/>
      <c r="N18" s="25"/>
      <c r="P18" s="24"/>
      <c r="Q18" s="26"/>
    </row>
    <row r="19" spans="2:22" x14ac:dyDescent="0.25">
      <c r="B19" s="44" t="s">
        <v>2</v>
      </c>
      <c r="C19" s="45"/>
      <c r="K19">
        <v>13</v>
      </c>
      <c r="L19" s="25"/>
      <c r="M19" s="25"/>
      <c r="N19" s="25"/>
      <c r="P19" s="24"/>
      <c r="Q19" s="26"/>
    </row>
    <row r="20" spans="2:22" x14ac:dyDescent="0.25">
      <c r="B20" s="44" t="s">
        <v>30</v>
      </c>
      <c r="C20" s="45"/>
      <c r="K20">
        <v>14</v>
      </c>
      <c r="L20" s="25"/>
      <c r="M20" s="25"/>
      <c r="N20" s="25"/>
      <c r="P20" s="24"/>
      <c r="Q20" s="26"/>
    </row>
    <row r="21" spans="2:22" x14ac:dyDescent="0.25">
      <c r="B21" s="44" t="s">
        <v>22</v>
      </c>
      <c r="C21" s="46"/>
      <c r="K21">
        <v>15</v>
      </c>
      <c r="L21" s="25"/>
      <c r="M21" s="25"/>
      <c r="N21" s="25"/>
      <c r="P21" s="24"/>
      <c r="Q21" s="26"/>
    </row>
    <row r="22" spans="2:22" x14ac:dyDescent="0.25">
      <c r="B22" s="12" t="s">
        <v>7</v>
      </c>
      <c r="C22" s="35"/>
      <c r="K22">
        <v>16</v>
      </c>
      <c r="L22" s="25"/>
      <c r="M22" s="25"/>
      <c r="N22" s="25"/>
      <c r="P22" s="24"/>
      <c r="Q22" s="26"/>
    </row>
    <row r="23" spans="2:22" x14ac:dyDescent="0.25">
      <c r="B23" s="44" t="s">
        <v>14</v>
      </c>
      <c r="C23" s="47"/>
      <c r="K23">
        <v>17</v>
      </c>
      <c r="L23" s="25"/>
      <c r="M23" s="25"/>
      <c r="N23" s="25"/>
      <c r="P23" s="24"/>
      <c r="Q23" s="26"/>
    </row>
    <row r="24" spans="2:22" x14ac:dyDescent="0.25">
      <c r="B24" s="44" t="s">
        <v>15</v>
      </c>
      <c r="C24" s="48"/>
      <c r="K24">
        <v>18</v>
      </c>
      <c r="L24" s="25"/>
      <c r="M24" s="25"/>
      <c r="N24" s="25"/>
      <c r="P24" s="24"/>
      <c r="Q24" s="26"/>
    </row>
    <row r="25" spans="2:22" x14ac:dyDescent="0.25">
      <c r="B25" s="44" t="s">
        <v>2</v>
      </c>
      <c r="C25" s="49"/>
      <c r="K25">
        <v>19</v>
      </c>
      <c r="L25" s="25"/>
      <c r="M25" s="25"/>
      <c r="N25" s="25"/>
      <c r="P25" s="24"/>
      <c r="Q25" s="26"/>
    </row>
    <row r="26" spans="2:22" x14ac:dyDescent="0.25">
      <c r="K26">
        <v>20</v>
      </c>
      <c r="L26" s="25"/>
      <c r="M26" s="25"/>
      <c r="N26" s="25"/>
      <c r="P26" s="24"/>
      <c r="Q26" s="26"/>
    </row>
    <row r="27" spans="2:22" x14ac:dyDescent="0.25">
      <c r="O27" s="54" t="s">
        <v>41</v>
      </c>
      <c r="P27" s="29"/>
      <c r="Q27" s="27"/>
    </row>
    <row r="28" spans="2:22" ht="20.399999999999999" x14ac:dyDescent="0.35">
      <c r="D28" s="11"/>
      <c r="S28" s="4" t="s">
        <v>25</v>
      </c>
      <c r="T28" s="35"/>
    </row>
    <row r="29" spans="2:22" x14ac:dyDescent="0.25">
      <c r="D29" s="34"/>
    </row>
    <row r="30" spans="2:22" ht="17.399999999999999" x14ac:dyDescent="0.3">
      <c r="D30" s="11"/>
      <c r="F30" s="69" t="s">
        <v>39</v>
      </c>
      <c r="G30" s="69"/>
      <c r="H30" s="69"/>
      <c r="S30" s="3"/>
      <c r="T30" s="55" t="s">
        <v>4</v>
      </c>
      <c r="U30" s="56" t="s">
        <v>5</v>
      </c>
      <c r="V30" s="31" t="s">
        <v>6</v>
      </c>
    </row>
    <row r="31" spans="2:22" ht="15.6" x14ac:dyDescent="0.35">
      <c r="C31" s="35"/>
      <c r="D31" s="11"/>
      <c r="S31" s="2" t="s">
        <v>11</v>
      </c>
      <c r="T31" s="28"/>
      <c r="U31" s="10"/>
      <c r="V31" s="57" t="s">
        <v>16</v>
      </c>
    </row>
    <row r="32" spans="2:22" ht="15.6" x14ac:dyDescent="0.35">
      <c r="E32" s="70" t="s">
        <v>0</v>
      </c>
      <c r="F32" s="73" t="s">
        <v>1</v>
      </c>
      <c r="G32" s="73"/>
      <c r="H32" s="73"/>
      <c r="I32" s="73"/>
      <c r="K32" s="53" t="s">
        <v>3</v>
      </c>
      <c r="L32" s="53" t="s">
        <v>14</v>
      </c>
      <c r="M32" s="53" t="s">
        <v>15</v>
      </c>
      <c r="N32" s="53" t="s">
        <v>2</v>
      </c>
      <c r="O32" s="53"/>
      <c r="P32" s="53" t="s">
        <v>8</v>
      </c>
      <c r="Q32" s="53" t="s">
        <v>9</v>
      </c>
      <c r="S32" s="2" t="s">
        <v>12</v>
      </c>
      <c r="T32" s="28"/>
      <c r="U32" s="10"/>
      <c r="V32" s="5" t="s">
        <v>16</v>
      </c>
    </row>
    <row r="33" spans="3:22" x14ac:dyDescent="0.25">
      <c r="C33" s="33"/>
      <c r="E33" s="71"/>
      <c r="F33" s="1" t="s">
        <v>10</v>
      </c>
      <c r="G33" s="1" t="s">
        <v>14</v>
      </c>
      <c r="H33" s="1" t="s">
        <v>15</v>
      </c>
      <c r="I33" s="1" t="s">
        <v>2</v>
      </c>
      <c r="K33" s="50" t="s">
        <v>40</v>
      </c>
      <c r="L33" s="8"/>
      <c r="M33" s="8"/>
      <c r="N33" s="8"/>
      <c r="P33" s="51" t="s">
        <v>16</v>
      </c>
      <c r="Q33" s="52" t="s">
        <v>16</v>
      </c>
      <c r="S33" s="2" t="s">
        <v>17</v>
      </c>
      <c r="T33" s="9"/>
      <c r="U33" s="10"/>
      <c r="V33" s="9"/>
    </row>
    <row r="34" spans="3:22" x14ac:dyDescent="0.25">
      <c r="D34" s="36"/>
      <c r="E34" s="71"/>
      <c r="F34" s="1" t="s">
        <v>14</v>
      </c>
      <c r="G34" s="14"/>
      <c r="H34" s="15"/>
      <c r="I34" s="15"/>
      <c r="K34">
        <v>1</v>
      </c>
      <c r="L34" s="25"/>
      <c r="M34" s="25"/>
      <c r="N34" s="25"/>
      <c r="P34" s="24"/>
      <c r="Q34" s="26"/>
    </row>
    <row r="35" spans="3:22" x14ac:dyDescent="0.25">
      <c r="D35" s="36"/>
      <c r="E35" s="71"/>
      <c r="F35" s="1" t="s">
        <v>15</v>
      </c>
      <c r="G35" s="16"/>
      <c r="H35" s="17"/>
      <c r="I35" s="15"/>
      <c r="K35">
        <v>2</v>
      </c>
      <c r="L35" s="25"/>
      <c r="M35" s="25"/>
      <c r="N35" s="25"/>
      <c r="P35" s="24"/>
      <c r="Q35" s="26"/>
    </row>
    <row r="36" spans="3:22" x14ac:dyDescent="0.25">
      <c r="D36" s="13"/>
      <c r="E36" s="72"/>
      <c r="F36" s="1" t="s">
        <v>2</v>
      </c>
      <c r="G36" s="16"/>
      <c r="H36" s="17"/>
      <c r="I36" s="17"/>
      <c r="K36">
        <v>3</v>
      </c>
      <c r="L36" s="25"/>
      <c r="M36" s="25"/>
      <c r="N36" s="25"/>
      <c r="P36" s="24"/>
      <c r="Q36" s="26"/>
    </row>
    <row r="37" spans="3:22" x14ac:dyDescent="0.25">
      <c r="K37">
        <v>4</v>
      </c>
      <c r="L37" s="25"/>
      <c r="M37" s="25"/>
      <c r="N37" s="25"/>
      <c r="P37" s="24"/>
      <c r="Q37" s="26"/>
    </row>
    <row r="38" spans="3:22" x14ac:dyDescent="0.25">
      <c r="C38" s="33"/>
      <c r="D38" s="33"/>
      <c r="K38">
        <v>5</v>
      </c>
      <c r="L38" s="25"/>
      <c r="M38" s="25"/>
      <c r="N38" s="25"/>
      <c r="P38" s="24"/>
      <c r="Q38" s="26"/>
    </row>
    <row r="39" spans="3:22" x14ac:dyDescent="0.25">
      <c r="C39" s="33"/>
      <c r="D39" s="33"/>
      <c r="K39">
        <v>6</v>
      </c>
      <c r="L39" s="25"/>
      <c r="M39" s="25"/>
      <c r="N39" s="25"/>
      <c r="P39" s="24"/>
      <c r="Q39" s="26"/>
    </row>
    <row r="40" spans="3:22" x14ac:dyDescent="0.25">
      <c r="K40">
        <v>7</v>
      </c>
      <c r="L40" s="25"/>
      <c r="M40" s="25"/>
      <c r="N40" s="25"/>
      <c r="P40" s="24"/>
      <c r="Q40" s="26"/>
    </row>
    <row r="41" spans="3:22" x14ac:dyDescent="0.25">
      <c r="K41">
        <v>8</v>
      </c>
      <c r="L41" s="25"/>
      <c r="M41" s="25"/>
      <c r="N41" s="25"/>
      <c r="P41" s="24"/>
      <c r="Q41" s="26"/>
    </row>
    <row r="42" spans="3:22" x14ac:dyDescent="0.25">
      <c r="K42">
        <v>9</v>
      </c>
      <c r="L42" s="25"/>
      <c r="M42" s="25"/>
      <c r="N42" s="25"/>
      <c r="P42" s="24"/>
      <c r="Q42" s="26"/>
    </row>
    <row r="43" spans="3:22" x14ac:dyDescent="0.25">
      <c r="K43">
        <v>10</v>
      </c>
      <c r="L43" s="25"/>
      <c r="M43" s="25"/>
      <c r="N43" s="25"/>
      <c r="P43" s="24"/>
      <c r="Q43" s="26"/>
    </row>
    <row r="44" spans="3:22" x14ac:dyDescent="0.25">
      <c r="K44">
        <v>11</v>
      </c>
      <c r="L44" s="25"/>
      <c r="M44" s="25"/>
      <c r="N44" s="25"/>
      <c r="P44" s="24"/>
      <c r="Q44" s="26"/>
    </row>
    <row r="45" spans="3:22" x14ac:dyDescent="0.25">
      <c r="K45">
        <v>12</v>
      </c>
      <c r="L45" s="25"/>
      <c r="M45" s="25"/>
      <c r="N45" s="25"/>
      <c r="P45" s="24"/>
      <c r="Q45" s="26"/>
    </row>
    <row r="46" spans="3:22" x14ac:dyDescent="0.25">
      <c r="K46">
        <v>13</v>
      </c>
      <c r="L46" s="25"/>
      <c r="M46" s="25"/>
      <c r="N46" s="25"/>
      <c r="P46" s="24"/>
      <c r="Q46" s="26"/>
    </row>
    <row r="47" spans="3:22" x14ac:dyDescent="0.25">
      <c r="K47">
        <v>14</v>
      </c>
      <c r="L47" s="25"/>
      <c r="M47" s="25"/>
      <c r="N47" s="25"/>
      <c r="P47" s="24"/>
      <c r="Q47" s="26"/>
    </row>
    <row r="48" spans="3:22" x14ac:dyDescent="0.25">
      <c r="K48">
        <v>15</v>
      </c>
      <c r="L48" s="25"/>
      <c r="M48" s="25"/>
      <c r="N48" s="25"/>
      <c r="P48" s="24"/>
      <c r="Q48" s="26"/>
    </row>
    <row r="49" spans="11:17" x14ac:dyDescent="0.25">
      <c r="K49">
        <v>16</v>
      </c>
      <c r="L49" s="25"/>
      <c r="M49" s="25"/>
      <c r="N49" s="25"/>
      <c r="P49" s="24"/>
      <c r="Q49" s="26"/>
    </row>
    <row r="50" spans="11:17" x14ac:dyDescent="0.25">
      <c r="K50">
        <v>17</v>
      </c>
      <c r="L50" s="25"/>
      <c r="M50" s="25"/>
      <c r="N50" s="25"/>
      <c r="P50" s="24"/>
      <c r="Q50" s="26"/>
    </row>
    <row r="51" spans="11:17" x14ac:dyDescent="0.25">
      <c r="K51">
        <v>18</v>
      </c>
      <c r="L51" s="25"/>
      <c r="M51" s="25"/>
      <c r="N51" s="25"/>
      <c r="P51" s="24"/>
      <c r="Q51" s="26"/>
    </row>
    <row r="52" spans="11:17" x14ac:dyDescent="0.25">
      <c r="K52">
        <v>19</v>
      </c>
      <c r="L52" s="25"/>
      <c r="M52" s="25"/>
      <c r="N52" s="25"/>
      <c r="P52" s="24"/>
      <c r="Q52" s="26"/>
    </row>
    <row r="53" spans="11:17" x14ac:dyDescent="0.25">
      <c r="K53">
        <v>20</v>
      </c>
      <c r="L53" s="25"/>
      <c r="M53" s="25"/>
      <c r="N53" s="25"/>
      <c r="P53" s="24"/>
      <c r="Q53" s="26"/>
    </row>
    <row r="54" spans="11:17" x14ac:dyDescent="0.25">
      <c r="O54" s="54" t="s">
        <v>41</v>
      </c>
      <c r="P54" s="29"/>
      <c r="Q54" s="27"/>
    </row>
  </sheetData>
  <mergeCells count="6">
    <mergeCell ref="F3:H3"/>
    <mergeCell ref="E5:E9"/>
    <mergeCell ref="F5:I5"/>
    <mergeCell ref="F30:H30"/>
    <mergeCell ref="E32:E36"/>
    <mergeCell ref="F32:I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CBEC3-3544-1848-BD66-C900968536D9}">
  <dimension ref="B3:V54"/>
  <sheetViews>
    <sheetView showGridLines="0" topLeftCell="A2" zoomScale="70" zoomScaleNormal="70" workbookViewId="0">
      <selection activeCell="N30" sqref="N30"/>
    </sheetView>
  </sheetViews>
  <sheetFormatPr defaultColWidth="11.5546875" defaultRowHeight="13.2" x14ac:dyDescent="0.25"/>
  <cols>
    <col min="1" max="1" width="3.44140625" customWidth="1"/>
    <col min="2" max="2" width="21.109375" customWidth="1"/>
    <col min="3" max="3" width="13.44140625" customWidth="1"/>
    <col min="5" max="5" width="6.44140625" customWidth="1"/>
    <col min="6" max="6" width="11.6640625" customWidth="1"/>
    <col min="15" max="15" width="5" customWidth="1"/>
    <col min="17" max="17" width="11.6640625" customWidth="1"/>
    <col min="19" max="19" width="24.77734375" customWidth="1"/>
    <col min="22" max="22" width="12.6640625" customWidth="1"/>
  </cols>
  <sheetData>
    <row r="3" spans="2:17" ht="19.05" customHeight="1" x14ac:dyDescent="0.45">
      <c r="F3" s="69" t="s">
        <v>13</v>
      </c>
      <c r="G3" s="69"/>
      <c r="H3" s="69"/>
    </row>
    <row r="5" spans="2:17" x14ac:dyDescent="0.25">
      <c r="E5" s="70" t="s">
        <v>0</v>
      </c>
      <c r="F5" s="73" t="s">
        <v>1</v>
      </c>
      <c r="G5" s="73"/>
      <c r="H5" s="73"/>
      <c r="I5" s="73"/>
      <c r="K5" s="53" t="s">
        <v>3</v>
      </c>
      <c r="L5" s="53" t="s">
        <v>14</v>
      </c>
      <c r="M5" s="53" t="s">
        <v>15</v>
      </c>
      <c r="N5" s="53" t="s">
        <v>2</v>
      </c>
      <c r="O5" s="53"/>
      <c r="P5" s="53" t="s">
        <v>8</v>
      </c>
      <c r="Q5" s="53" t="s">
        <v>9</v>
      </c>
    </row>
    <row r="6" spans="2:17" x14ac:dyDescent="0.25">
      <c r="E6" s="71"/>
      <c r="F6" s="1" t="s">
        <v>10</v>
      </c>
      <c r="G6" s="1" t="s">
        <v>14</v>
      </c>
      <c r="H6" s="1" t="s">
        <v>15</v>
      </c>
      <c r="I6" s="1" t="s">
        <v>2</v>
      </c>
      <c r="K6" s="50" t="s">
        <v>40</v>
      </c>
      <c r="L6" s="8">
        <v>1</v>
      </c>
      <c r="M6" s="8">
        <v>0</v>
      </c>
      <c r="N6" s="8">
        <v>0</v>
      </c>
      <c r="O6" s="64">
        <f>SUM(L6:N6)</f>
        <v>1</v>
      </c>
      <c r="P6" s="51" t="s">
        <v>16</v>
      </c>
      <c r="Q6" s="52" t="s">
        <v>16</v>
      </c>
    </row>
    <row r="7" spans="2:17" x14ac:dyDescent="0.25">
      <c r="E7" s="71"/>
      <c r="F7" s="1" t="s">
        <v>14</v>
      </c>
      <c r="G7" s="14">
        <f>1-H7-I7</f>
        <v>0.9778568755146344</v>
      </c>
      <c r="H7" s="15">
        <f>C12</f>
        <v>1.7759562841530054E-2</v>
      </c>
      <c r="I7" s="15">
        <f>C14</f>
        <v>4.3835616438356161E-3</v>
      </c>
      <c r="K7">
        <v>1</v>
      </c>
      <c r="L7" s="25">
        <f>(L6*G$7)+(M6*G$8)+(N6*G$9)</f>
        <v>0.9778568755146344</v>
      </c>
      <c r="M7" s="25">
        <f>(L6*H$7)+(M6*H$8)+(N6*H$9)</f>
        <v>1.7759562841530054E-2</v>
      </c>
      <c r="N7" s="25">
        <f>(L6*I$7)+(M6*I$8)+(N6*I$9)</f>
        <v>4.3835616438356161E-3</v>
      </c>
      <c r="O7" s="64">
        <f t="shared" ref="O7:O26" si="0">SUM(L7:N7)</f>
        <v>1</v>
      </c>
      <c r="P7" s="24">
        <f>L7*($C$17+$C$20)+M7*($C$18+$C$20)+((N7-N6)*($C$19+$C$20))</f>
        <v>106.55737704918032</v>
      </c>
      <c r="Q7" s="65">
        <f>L7*$C$23+M7*$C$24+N7*$C$25</f>
        <v>0.88717501309978297</v>
      </c>
    </row>
    <row r="8" spans="2:17" x14ac:dyDescent="0.25">
      <c r="E8" s="71"/>
      <c r="F8" s="1" t="s">
        <v>15</v>
      </c>
      <c r="G8" s="16">
        <v>0</v>
      </c>
      <c r="H8" s="17">
        <f>1-I8</f>
        <v>0.99178082191780825</v>
      </c>
      <c r="I8" s="15">
        <f>C15</f>
        <v>8.21917808219178E-3</v>
      </c>
      <c r="K8">
        <v>2</v>
      </c>
      <c r="L8" s="25">
        <f t="shared" ref="L8:L26" si="1">(L7*G$7)+(M7*G$8)+(N7*G$9)</f>
        <v>0.95620406899124322</v>
      </c>
      <c r="M8" s="25">
        <f t="shared" ref="M8:M26" si="2">(L7*H$7)+(M7*H$8)+(N7*H$9)</f>
        <v>3.4979904462598022E-2</v>
      </c>
      <c r="N8" s="25">
        <f t="shared" ref="N8:N26" si="3">(L7*I$7)+(M7*I$8)+(N7*I$9)</f>
        <v>8.8160265461589178E-3</v>
      </c>
      <c r="O8" s="64">
        <f t="shared" si="0"/>
        <v>1.0000000000000002</v>
      </c>
      <c r="P8" s="24">
        <f t="shared" ref="P8:P26" si="4">L8*($C$17+$C$20)+M8*($C$18+$C$20)+((N8-N7)*($C$19+$C$20))</f>
        <v>209.87942677558812</v>
      </c>
      <c r="Q8" s="65">
        <f t="shared" ref="Q8:Q26" si="5">L8*$C$23+M8*$C$24+N8*$C$25</f>
        <v>0.87457562387715815</v>
      </c>
    </row>
    <row r="9" spans="2:17" x14ac:dyDescent="0.25">
      <c r="E9" s="72"/>
      <c r="F9" s="1" t="s">
        <v>2</v>
      </c>
      <c r="G9" s="16">
        <v>0</v>
      </c>
      <c r="H9" s="17">
        <v>0</v>
      </c>
      <c r="I9" s="17">
        <v>1</v>
      </c>
      <c r="K9">
        <v>3</v>
      </c>
      <c r="L9" s="25">
        <f t="shared" si="1"/>
        <v>0.93503072325815706</v>
      </c>
      <c r="M9" s="25">
        <f t="shared" si="2"/>
        <v>5.16741646510986E-2</v>
      </c>
      <c r="N9" s="25">
        <f t="shared" si="3"/>
        <v>1.3295112090744625E-2</v>
      </c>
      <c r="O9" s="64">
        <f t="shared" si="0"/>
        <v>1.0000000000000002</v>
      </c>
      <c r="P9" s="24">
        <f t="shared" si="4"/>
        <v>310.04498790659159</v>
      </c>
      <c r="Q9" s="65">
        <f t="shared" si="5"/>
        <v>0.86219731679278078</v>
      </c>
    </row>
    <row r="10" spans="2:17" x14ac:dyDescent="0.25">
      <c r="K10">
        <v>4</v>
      </c>
      <c r="L10" s="25">
        <f t="shared" si="1"/>
        <v>0.91432622155541021</v>
      </c>
      <c r="M10" s="25">
        <f t="shared" si="2"/>
        <v>6.785518237804726E-2</v>
      </c>
      <c r="N10" s="25">
        <f t="shared" si="3"/>
        <v>1.7818596066542836E-2</v>
      </c>
      <c r="O10" s="64">
        <f t="shared" si="0"/>
        <v>1.0000000000000002</v>
      </c>
      <c r="P10" s="24">
        <f t="shared" si="4"/>
        <v>407.13109426828356</v>
      </c>
      <c r="Q10" s="65">
        <f t="shared" si="5"/>
        <v>0.85003567235108812</v>
      </c>
    </row>
    <row r="11" spans="2:17" x14ac:dyDescent="0.25">
      <c r="B11" s="37" t="s">
        <v>18</v>
      </c>
      <c r="C11" s="38"/>
      <c r="K11">
        <v>5</v>
      </c>
      <c r="L11" s="25">
        <f t="shared" si="1"/>
        <v>0.89408018221127483</v>
      </c>
      <c r="M11" s="25">
        <f t="shared" si="2"/>
        <v>8.3535502539654527E-2</v>
      </c>
      <c r="N11" s="25">
        <f t="shared" si="3"/>
        <v>2.238431524907105E-2</v>
      </c>
      <c r="O11" s="64">
        <f t="shared" si="0"/>
        <v>1.0000000000000004</v>
      </c>
      <c r="P11" s="24">
        <f t="shared" si="4"/>
        <v>501.21301523792715</v>
      </c>
      <c r="Q11" s="65">
        <f t="shared" si="5"/>
        <v>0.83808636500600919</v>
      </c>
    </row>
    <row r="12" spans="2:17" x14ac:dyDescent="0.25">
      <c r="B12" s="39" t="s">
        <v>26</v>
      </c>
      <c r="C12" s="58">
        <f>26/1464</f>
        <v>1.7759562841530054E-2</v>
      </c>
      <c r="K12">
        <v>6</v>
      </c>
      <c r="L12" s="25">
        <f t="shared" si="1"/>
        <v>0.87428245343667221</v>
      </c>
      <c r="M12" s="25">
        <f t="shared" si="2"/>
        <v>9.8727382549443493E-2</v>
      </c>
      <c r="N12" s="25">
        <f t="shared" si="3"/>
        <v>2.6990164013884758E-2</v>
      </c>
      <c r="O12" s="64">
        <f t="shared" si="0"/>
        <v>1.0000000000000004</v>
      </c>
      <c r="P12" s="24">
        <f t="shared" si="4"/>
        <v>592.364295296661</v>
      </c>
      <c r="Q12" s="65">
        <f t="shared" si="5"/>
        <v>0.82634516111278233</v>
      </c>
    </row>
    <row r="13" spans="2:17" x14ac:dyDescent="0.25">
      <c r="B13" s="41" t="s">
        <v>27</v>
      </c>
      <c r="C13" s="58">
        <f>13/1456</f>
        <v>8.9285714285714281E-3</v>
      </c>
      <c r="K13">
        <v>7</v>
      </c>
      <c r="L13" s="25">
        <f t="shared" si="1"/>
        <v>0.85492310823485318</v>
      </c>
      <c r="M13" s="25">
        <f t="shared" si="2"/>
        <v>0.1134427987837366</v>
      </c>
      <c r="N13" s="25">
        <f t="shared" si="3"/>
        <v>3.1634092981410802E-2</v>
      </c>
      <c r="O13" s="64">
        <f t="shared" si="0"/>
        <v>1.0000000000000007</v>
      </c>
      <c r="P13" s="24">
        <f t="shared" si="4"/>
        <v>680.65679270241958</v>
      </c>
      <c r="Q13" s="65">
        <f t="shared" si="5"/>
        <v>0.81480791692486254</v>
      </c>
    </row>
    <row r="14" spans="2:17" x14ac:dyDescent="0.25">
      <c r="B14" s="41" t="s">
        <v>28</v>
      </c>
      <c r="C14" s="58">
        <f>8/1825</f>
        <v>4.3835616438356161E-3</v>
      </c>
      <c r="K14">
        <v>8</v>
      </c>
      <c r="L14" s="25">
        <f t="shared" si="1"/>
        <v>0.83599243942379309</v>
      </c>
      <c r="M14" s="25">
        <f t="shared" si="2"/>
        <v>0.12769345288376388</v>
      </c>
      <c r="N14" s="25">
        <f t="shared" si="3"/>
        <v>3.6314107692443608E-2</v>
      </c>
      <c r="O14" s="64">
        <f t="shared" si="0"/>
        <v>1.0000000000000007</v>
      </c>
      <c r="P14" s="24">
        <f t="shared" si="4"/>
        <v>766.16071730258329</v>
      </c>
      <c r="Q14" s="65">
        <f t="shared" si="5"/>
        <v>0.80347057663491939</v>
      </c>
    </row>
    <row r="15" spans="2:17" x14ac:dyDescent="0.25">
      <c r="B15" s="41" t="s">
        <v>29</v>
      </c>
      <c r="C15" s="58">
        <f>9/1095</f>
        <v>8.21917808219178E-3</v>
      </c>
      <c r="K15">
        <v>9</v>
      </c>
      <c r="L15" s="25">
        <f t="shared" si="1"/>
        <v>0.81748095476880756</v>
      </c>
      <c r="M15" s="25">
        <f t="shared" si="2"/>
        <v>0.14149077791757314</v>
      </c>
      <c r="N15" s="25">
        <f t="shared" si="3"/>
        <v>4.1028267313619936E-2</v>
      </c>
      <c r="O15" s="64">
        <f t="shared" si="0"/>
        <v>1.0000000000000007</v>
      </c>
      <c r="P15" s="24">
        <f t="shared" si="4"/>
        <v>848.94466750543882</v>
      </c>
      <c r="Q15" s="65">
        <f t="shared" si="5"/>
        <v>0.79232917045895601</v>
      </c>
    </row>
    <row r="16" spans="2:17" x14ac:dyDescent="0.25">
      <c r="B16" s="12" t="s">
        <v>4</v>
      </c>
      <c r="C16" s="59"/>
      <c r="K16">
        <v>10</v>
      </c>
      <c r="L16" s="25">
        <f t="shared" si="1"/>
        <v>0.79937937222294631</v>
      </c>
      <c r="M16" s="25">
        <f t="shared" si="2"/>
        <v>0.15484594440485139</v>
      </c>
      <c r="N16" s="25">
        <f t="shared" si="3"/>
        <v>4.577468337220298E-2</v>
      </c>
      <c r="O16" s="64">
        <f t="shared" si="0"/>
        <v>1.0000000000000007</v>
      </c>
      <c r="P16" s="24">
        <f t="shared" si="4"/>
        <v>929.07566642910831</v>
      </c>
      <c r="Q16" s="65">
        <f t="shared" si="5"/>
        <v>0.78137981276259227</v>
      </c>
    </row>
    <row r="17" spans="2:22" x14ac:dyDescent="0.25">
      <c r="B17" s="44" t="s">
        <v>14</v>
      </c>
      <c r="C17" s="60">
        <v>0</v>
      </c>
      <c r="K17">
        <v>11</v>
      </c>
      <c r="L17" s="25">
        <f t="shared" si="1"/>
        <v>0.78167861527278015</v>
      </c>
      <c r="M17" s="25">
        <f t="shared" si="2"/>
        <v>0.16776986620769899</v>
      </c>
      <c r="N17" s="25">
        <f t="shared" si="3"/>
        <v>5.0551518519521527E-2</v>
      </c>
      <c r="O17" s="64">
        <f t="shared" si="0"/>
        <v>1.0000000000000007</v>
      </c>
      <c r="P17" s="24">
        <f t="shared" si="4"/>
        <v>1006.6191972461939</v>
      </c>
      <c r="Q17" s="65">
        <f t="shared" si="5"/>
        <v>0.77061870022858181</v>
      </c>
    </row>
    <row r="18" spans="2:22" x14ac:dyDescent="0.25">
      <c r="B18" s="44" t="s">
        <v>15</v>
      </c>
      <c r="C18" s="61">
        <v>6000</v>
      </c>
      <c r="K18">
        <v>12</v>
      </c>
      <c r="L18" s="25">
        <f t="shared" si="1"/>
        <v>0.76436980838724677</v>
      </c>
      <c r="M18" s="25">
        <f t="shared" si="2"/>
        <v>0.18027320629032956</v>
      </c>
      <c r="N18" s="25">
        <f t="shared" si="3"/>
        <v>5.535698532242439E-2</v>
      </c>
      <c r="O18" s="64">
        <f t="shared" si="0"/>
        <v>1.0000000000000009</v>
      </c>
      <c r="P18" s="24">
        <f t="shared" si="4"/>
        <v>1081.6392377419772</v>
      </c>
      <c r="Q18" s="65">
        <f t="shared" si="5"/>
        <v>0.76004211006465394</v>
      </c>
    </row>
    <row r="19" spans="2:22" x14ac:dyDescent="0.25">
      <c r="B19" s="44" t="s">
        <v>2</v>
      </c>
      <c r="C19" s="60">
        <v>0</v>
      </c>
      <c r="K19">
        <v>13</v>
      </c>
      <c r="L19" s="25">
        <f t="shared" si="1"/>
        <v>0.74744427256727297</v>
      </c>
      <c r="M19" s="25">
        <f t="shared" si="2"/>
        <v>0.19236638235060324</v>
      </c>
      <c r="N19" s="25">
        <f t="shared" si="3"/>
        <v>6.0189345082124618E-2</v>
      </c>
      <c r="O19" s="64">
        <f t="shared" si="0"/>
        <v>1.0000000000000009</v>
      </c>
      <c r="P19" s="24">
        <f t="shared" si="4"/>
        <v>1154.1982941036194</v>
      </c>
      <c r="Q19" s="65">
        <f t="shared" si="5"/>
        <v>0.74964639825078705</v>
      </c>
    </row>
    <row r="20" spans="2:22" x14ac:dyDescent="0.25">
      <c r="B20" s="44" t="s">
        <v>30</v>
      </c>
      <c r="C20" s="60">
        <v>0</v>
      </c>
      <c r="K20">
        <v>14</v>
      </c>
      <c r="L20" s="25">
        <f t="shared" si="1"/>
        <v>0.73089352099394234</v>
      </c>
      <c r="M20" s="25">
        <f t="shared" si="2"/>
        <v>0.20405957232623687</v>
      </c>
      <c r="N20" s="25">
        <f t="shared" si="3"/>
        <v>6.5046906679821728E-2</v>
      </c>
      <c r="O20" s="64">
        <f t="shared" si="0"/>
        <v>1.0000000000000009</v>
      </c>
      <c r="P20" s="24">
        <f t="shared" si="4"/>
        <v>1224.3574339574211</v>
      </c>
      <c r="Q20" s="65">
        <f t="shared" si="5"/>
        <v>0.73942799782504287</v>
      </c>
    </row>
    <row r="21" spans="2:22" x14ac:dyDescent="0.25">
      <c r="B21" s="44" t="s">
        <v>22</v>
      </c>
      <c r="C21" s="61">
        <v>1000</v>
      </c>
      <c r="K21">
        <v>15</v>
      </c>
      <c r="L21" s="25">
        <f t="shared" si="1"/>
        <v>0.71470925477302627</v>
      </c>
      <c r="M21" s="25">
        <f t="shared" si="2"/>
        <v>0.21536271977847074</v>
      </c>
      <c r="N21" s="25">
        <f t="shared" si="3"/>
        <v>6.9928025448503975E-2</v>
      </c>
      <c r="O21" s="64">
        <f t="shared" si="0"/>
        <v>1.0000000000000011</v>
      </c>
      <c r="P21" s="24">
        <f t="shared" si="4"/>
        <v>1292.1763186708245</v>
      </c>
      <c r="Q21" s="65">
        <f t="shared" si="5"/>
        <v>0.72938341720711197</v>
      </c>
    </row>
    <row r="22" spans="2:22" x14ac:dyDescent="0.25">
      <c r="B22" s="12" t="s">
        <v>7</v>
      </c>
      <c r="C22" s="35"/>
      <c r="K22">
        <v>16</v>
      </c>
      <c r="L22" s="25">
        <f t="shared" si="1"/>
        <v>0.6988833587737443</v>
      </c>
      <c r="M22" s="25">
        <f t="shared" si="2"/>
        <v>0.22628553915591099</v>
      </c>
      <c r="N22" s="25">
        <f t="shared" si="3"/>
        <v>7.4831102070345767E-2</v>
      </c>
      <c r="O22" s="64">
        <f t="shared" si="0"/>
        <v>1.0000000000000011</v>
      </c>
      <c r="P22" s="24">
        <f t="shared" si="4"/>
        <v>1357.7132349354658</v>
      </c>
      <c r="Q22" s="65">
        <f t="shared" si="5"/>
        <v>0.71950923855873428</v>
      </c>
    </row>
    <row r="23" spans="2:22" x14ac:dyDescent="0.25">
      <c r="B23" s="44" t="s">
        <v>14</v>
      </c>
      <c r="C23" s="62">
        <v>0.9</v>
      </c>
      <c r="K23">
        <v>17</v>
      </c>
      <c r="L23" s="25">
        <f t="shared" si="1"/>
        <v>0.68340789755966691</v>
      </c>
      <c r="M23" s="25">
        <f t="shared" si="2"/>
        <v>0.23683752094120566</v>
      </c>
      <c r="N23" s="25">
        <f t="shared" si="3"/>
        <v>7.9754581499128577E-2</v>
      </c>
      <c r="O23" s="64">
        <f t="shared" si="0"/>
        <v>1.0000000000000011</v>
      </c>
      <c r="P23" s="24">
        <f t="shared" si="4"/>
        <v>1421.0251256472341</v>
      </c>
      <c r="Q23" s="65">
        <f t="shared" si="5"/>
        <v>0.70980211618018252</v>
      </c>
    </row>
    <row r="24" spans="2:22" x14ac:dyDescent="0.25">
      <c r="B24" s="44" t="s">
        <v>15</v>
      </c>
      <c r="C24" s="62">
        <v>0.4</v>
      </c>
      <c r="K24">
        <v>18</v>
      </c>
      <c r="L24" s="25">
        <f t="shared" si="1"/>
        <v>0.66827511140972118</v>
      </c>
      <c r="M24" s="25">
        <f t="shared" si="2"/>
        <v>0.2470279366831539</v>
      </c>
      <c r="N24" s="25">
        <f t="shared" si="3"/>
        <v>8.4696951907126061E-2</v>
      </c>
      <c r="O24" s="64">
        <f t="shared" si="0"/>
        <v>1.0000000000000011</v>
      </c>
      <c r="P24" s="24">
        <f t="shared" si="4"/>
        <v>1482.1676200989234</v>
      </c>
      <c r="Q24" s="65">
        <f t="shared" si="5"/>
        <v>0.70025877494201061</v>
      </c>
    </row>
    <row r="25" spans="2:22" x14ac:dyDescent="0.25">
      <c r="B25" s="44" t="s">
        <v>2</v>
      </c>
      <c r="C25" s="63">
        <v>0</v>
      </c>
      <c r="K25">
        <v>19</v>
      </c>
      <c r="L25" s="25">
        <f t="shared" si="1"/>
        <v>0.65347741242730417</v>
      </c>
      <c r="M25" s="25">
        <f t="shared" si="2"/>
        <v>0.25686584391679013</v>
      </c>
      <c r="N25" s="25">
        <f t="shared" si="3"/>
        <v>8.9656743655906923E-2</v>
      </c>
      <c r="O25" s="64">
        <f t="shared" si="0"/>
        <v>1.0000000000000013</v>
      </c>
      <c r="P25" s="24">
        <f t="shared" si="4"/>
        <v>1541.1950635007408</v>
      </c>
      <c r="Q25" s="65">
        <f t="shared" si="5"/>
        <v>0.69087600875128985</v>
      </c>
    </row>
    <row r="26" spans="2:22" x14ac:dyDescent="0.25">
      <c r="K26">
        <v>20</v>
      </c>
      <c r="L26" s="25">
        <f t="shared" si="1"/>
        <v>0.63900738073555174</v>
      </c>
      <c r="M26" s="25">
        <f t="shared" si="2"/>
        <v>0.26636009097392871</v>
      </c>
      <c r="N26" s="25">
        <f t="shared" si="3"/>
        <v>9.4632528290520782E-2</v>
      </c>
      <c r="O26" s="64">
        <f t="shared" si="0"/>
        <v>1.0000000000000011</v>
      </c>
      <c r="P26" s="24">
        <f t="shared" si="4"/>
        <v>1598.1605458435722</v>
      </c>
      <c r="Q26" s="65">
        <f t="shared" si="5"/>
        <v>0.68165067905156818</v>
      </c>
    </row>
    <row r="27" spans="2:22" x14ac:dyDescent="0.25">
      <c r="O27" s="54" t="s">
        <v>41</v>
      </c>
      <c r="P27" s="29">
        <f>SUM(P7:P26)</f>
        <v>18511.280112219756</v>
      </c>
      <c r="Q27" s="66">
        <f>SUM(Q7:Q26)</f>
        <v>15.581618070080896</v>
      </c>
    </row>
    <row r="28" spans="2:22" x14ac:dyDescent="0.25">
      <c r="D28" s="11"/>
      <c r="T28" s="35"/>
    </row>
    <row r="29" spans="2:22" x14ac:dyDescent="0.25">
      <c r="D29" s="34"/>
    </row>
    <row r="30" spans="2:22" ht="20.399999999999999" x14ac:dyDescent="0.35">
      <c r="D30" s="11"/>
      <c r="F30" s="69" t="s">
        <v>39</v>
      </c>
      <c r="G30" s="69"/>
      <c r="H30" s="69"/>
      <c r="S30" s="4" t="s">
        <v>25</v>
      </c>
      <c r="T30" s="56" t="s">
        <v>4</v>
      </c>
      <c r="U30" s="56" t="s">
        <v>5</v>
      </c>
      <c r="V30" s="31" t="s">
        <v>6</v>
      </c>
    </row>
    <row r="31" spans="2:22" ht="15.6" x14ac:dyDescent="0.35">
      <c r="C31" s="35"/>
      <c r="D31" s="11"/>
      <c r="S31" s="2" t="s">
        <v>11</v>
      </c>
      <c r="T31" s="28">
        <f>P54</f>
        <v>28977.566183004768</v>
      </c>
      <c r="U31" s="10">
        <f>Q54</f>
        <v>16.338906754806398</v>
      </c>
      <c r="V31" s="57" t="s">
        <v>16</v>
      </c>
    </row>
    <row r="32" spans="2:22" ht="15.6" x14ac:dyDescent="0.35">
      <c r="E32" s="70" t="s">
        <v>0</v>
      </c>
      <c r="F32" s="73" t="s">
        <v>1</v>
      </c>
      <c r="G32" s="73"/>
      <c r="H32" s="73"/>
      <c r="I32" s="73"/>
      <c r="K32" s="53" t="s">
        <v>3</v>
      </c>
      <c r="L32" s="53" t="s">
        <v>14</v>
      </c>
      <c r="M32" s="53" t="s">
        <v>15</v>
      </c>
      <c r="N32" s="53" t="s">
        <v>2</v>
      </c>
      <c r="O32" s="53"/>
      <c r="P32" s="53" t="s">
        <v>8</v>
      </c>
      <c r="Q32" s="53" t="s">
        <v>9</v>
      </c>
      <c r="S32" s="2" t="s">
        <v>12</v>
      </c>
      <c r="T32" s="28">
        <f>P27</f>
        <v>18511.280112219756</v>
      </c>
      <c r="U32" s="10">
        <f>Q27</f>
        <v>15.581618070080896</v>
      </c>
      <c r="V32" s="5" t="s">
        <v>16</v>
      </c>
    </row>
    <row r="33" spans="3:22" x14ac:dyDescent="0.25">
      <c r="C33" s="33"/>
      <c r="E33" s="71"/>
      <c r="F33" s="1" t="s">
        <v>10</v>
      </c>
      <c r="G33" s="1" t="s">
        <v>14</v>
      </c>
      <c r="H33" s="1" t="s">
        <v>15</v>
      </c>
      <c r="I33" s="1" t="s">
        <v>2</v>
      </c>
      <c r="K33" s="50" t="s">
        <v>40</v>
      </c>
      <c r="L33" s="8">
        <v>1</v>
      </c>
      <c r="M33" s="8">
        <v>0</v>
      </c>
      <c r="N33" s="8">
        <v>0</v>
      </c>
      <c r="P33" s="51" t="s">
        <v>16</v>
      </c>
      <c r="Q33" s="52" t="s">
        <v>16</v>
      </c>
      <c r="S33" s="2" t="s">
        <v>17</v>
      </c>
      <c r="T33" s="9">
        <f>T31-T32</f>
        <v>10466.286070785012</v>
      </c>
      <c r="U33" s="10">
        <f>U31-U32</f>
        <v>0.75728868472550204</v>
      </c>
      <c r="V33" s="9">
        <f>T33/U33</f>
        <v>13820.734789638083</v>
      </c>
    </row>
    <row r="34" spans="3:22" x14ac:dyDescent="0.25">
      <c r="D34" s="36"/>
      <c r="E34" s="71"/>
      <c r="F34" s="1" t="s">
        <v>14</v>
      </c>
      <c r="G34" s="14">
        <f>1-H34-I34</f>
        <v>0.98668786692759303</v>
      </c>
      <c r="H34" s="67">
        <f>C13</f>
        <v>8.9285714285714281E-3</v>
      </c>
      <c r="I34" s="15">
        <f>C14</f>
        <v>4.3835616438356161E-3</v>
      </c>
      <c r="K34">
        <v>1</v>
      </c>
      <c r="L34" s="25">
        <f>(L33*G$34)+(M33*G$35)+(N33*G$36)</f>
        <v>0.98668786692759303</v>
      </c>
      <c r="M34" s="25">
        <f>(L33*H$34)+(M33*H$35)+(N33*H$36)</f>
        <v>8.9285714285714281E-3</v>
      </c>
      <c r="N34" s="25">
        <f>(L33*I$34)+(M33*I$35)+(N33*I$36)</f>
        <v>4.3835616438356161E-3</v>
      </c>
      <c r="P34" s="24">
        <f>L34*($C$17+$C$21)+M34*($C$18+$C$21)+((N34-N33)*($C$19+$C$21))</f>
        <v>1053.5714285714287</v>
      </c>
      <c r="Q34" s="65">
        <f>L34*$C$23+M34*$C$24+N34*$C$25</f>
        <v>0.89159050880626234</v>
      </c>
    </row>
    <row r="35" spans="3:22" x14ac:dyDescent="0.25">
      <c r="D35" s="36"/>
      <c r="E35" s="71"/>
      <c r="F35" s="1" t="s">
        <v>15</v>
      </c>
      <c r="G35" s="6">
        <v>0</v>
      </c>
      <c r="H35" s="17">
        <f>1-I35</f>
        <v>0.99178082191780825</v>
      </c>
      <c r="I35" s="15">
        <f>C15</f>
        <v>8.21917808219178E-3</v>
      </c>
      <c r="K35">
        <v>2</v>
      </c>
      <c r="L35" s="25">
        <f t="shared" ref="L35:L53" si="6">(L34*G$34)+(M34*G$35)+(N34*G$36)</f>
        <v>0.97355294674212356</v>
      </c>
      <c r="M35" s="25">
        <f t="shared" ref="M35:M53" si="7">(L34*H$34)+(M34*H$35)+(N34*H$36)</f>
        <v>1.7664899007548224E-2</v>
      </c>
      <c r="N35" s="25">
        <f t="shared" ref="N35:N53" si="8">(L34*I$34)+(M34*I$35)+(N34*I$36)</f>
        <v>8.7821542503283903E-3</v>
      </c>
      <c r="P35" s="24">
        <f>L35*($C$17+$C$21)+M35*($C$18+$C$21)+((N35-N34)*($C$19+$C$21))</f>
        <v>1101.6058324014539</v>
      </c>
      <c r="Q35" s="65">
        <f t="shared" ref="Q35:Q53" si="9">L35*$C$23+M35*$C$24+N35*$C$25</f>
        <v>0.88326361167093048</v>
      </c>
    </row>
    <row r="36" spans="3:22" x14ac:dyDescent="0.25">
      <c r="D36" s="13"/>
      <c r="E36" s="72"/>
      <c r="F36" s="1" t="s">
        <v>2</v>
      </c>
      <c r="G36" s="6">
        <v>0</v>
      </c>
      <c r="H36" s="7">
        <v>0</v>
      </c>
      <c r="I36" s="7">
        <v>1</v>
      </c>
      <c r="K36">
        <v>3</v>
      </c>
      <c r="L36" s="25">
        <f t="shared" si="6"/>
        <v>0.96059288036205848</v>
      </c>
      <c r="M36" s="25">
        <f t="shared" si="7"/>
        <v>2.6212145081284499E-2</v>
      </c>
      <c r="N36" s="25">
        <f t="shared" si="8"/>
        <v>1.3194974556657274E-2</v>
      </c>
      <c r="P36" s="24">
        <f t="shared" ref="P36:P53" si="10">L36*($C$17+$C$21)+M36*($C$18+$C$21)+((N36-N35)*($C$19+$C$21))</f>
        <v>1148.490716237379</v>
      </c>
      <c r="Q36" s="65">
        <f t="shared" si="9"/>
        <v>0.87501845035836645</v>
      </c>
    </row>
    <row r="37" spans="3:22" x14ac:dyDescent="0.25">
      <c r="K37">
        <v>4</v>
      </c>
      <c r="L37" s="25">
        <f t="shared" si="6"/>
        <v>0.94780534011027207</v>
      </c>
      <c r="M37" s="25">
        <f t="shared" si="7"/>
        <v>3.457342493903498E-2</v>
      </c>
      <c r="N37" s="25">
        <f t="shared" si="8"/>
        <v>1.7621234950693294E-2</v>
      </c>
      <c r="P37" s="24">
        <f t="shared" si="10"/>
        <v>1194.245575077553</v>
      </c>
      <c r="Q37" s="65">
        <f t="shared" si="9"/>
        <v>0.86685417607485893</v>
      </c>
    </row>
    <row r="38" spans="3:22" x14ac:dyDescent="0.25">
      <c r="C38" s="33"/>
      <c r="D38" s="33"/>
      <c r="K38">
        <v>5</v>
      </c>
      <c r="L38" s="25">
        <f t="shared" si="6"/>
        <v>0.93518802929598621</v>
      </c>
      <c r="M38" s="25">
        <f t="shared" si="7"/>
        <v>4.2751807482105768E-2</v>
      </c>
      <c r="N38" s="25">
        <f t="shared" si="8"/>
        <v>2.2060163221908471E-2</v>
      </c>
      <c r="P38" s="24">
        <f t="shared" si="10"/>
        <v>1238.8896099419419</v>
      </c>
      <c r="Q38" s="65">
        <f t="shared" si="9"/>
        <v>0.8587699493592299</v>
      </c>
    </row>
    <row r="39" spans="3:22" x14ac:dyDescent="0.25">
      <c r="C39" s="33"/>
      <c r="D39" s="33"/>
      <c r="K39">
        <v>6</v>
      </c>
      <c r="L39" s="25">
        <f t="shared" si="6"/>
        <v>0.92273868180227603</v>
      </c>
      <c r="M39" s="25">
        <f t="shared" si="7"/>
        <v>5.0750315881788924E-2</v>
      </c>
      <c r="N39" s="25">
        <f t="shared" si="8"/>
        <v>2.6511002315935582E-2</v>
      </c>
      <c r="P39" s="24">
        <f t="shared" si="10"/>
        <v>1282.4417320688256</v>
      </c>
      <c r="Q39" s="65">
        <f t="shared" si="9"/>
        <v>0.8507649399747641</v>
      </c>
    </row>
    <row r="40" spans="3:22" x14ac:dyDescent="0.25">
      <c r="K40">
        <v>7</v>
      </c>
      <c r="L40" s="25">
        <f t="shared" si="6"/>
        <v>0.91045506167906676</v>
      </c>
      <c r="M40" s="25">
        <f t="shared" si="7"/>
        <v>5.8571928228206477E-2</v>
      </c>
      <c r="N40" s="25">
        <f t="shared" si="8"/>
        <v>3.0973010092727384E-2</v>
      </c>
      <c r="P40" s="24">
        <f t="shared" si="10"/>
        <v>1324.9205670533038</v>
      </c>
      <c r="Q40" s="65">
        <f t="shared" si="9"/>
        <v>0.84283832680244275</v>
      </c>
    </row>
    <row r="41" spans="3:22" x14ac:dyDescent="0.25">
      <c r="K41">
        <v>8</v>
      </c>
      <c r="L41" s="25">
        <f t="shared" si="6"/>
        <v>0.89833496274154856</v>
      </c>
      <c r="M41" s="25">
        <f t="shared" si="7"/>
        <v>6.6219578170187449E-2</v>
      </c>
      <c r="N41" s="25">
        <f t="shared" si="8"/>
        <v>3.5445459088264714E-2</v>
      </c>
      <c r="P41" s="24">
        <f t="shared" si="10"/>
        <v>1366.3444589283981</v>
      </c>
      <c r="Q41" s="65">
        <f t="shared" si="9"/>
        <v>0.83498929773546871</v>
      </c>
    </row>
    <row r="42" spans="3:22" x14ac:dyDescent="0.25">
      <c r="K42">
        <v>9</v>
      </c>
      <c r="L42" s="25">
        <f t="shared" si="6"/>
        <v>0.88637620817393725</v>
      </c>
      <c r="M42" s="25">
        <f t="shared" si="7"/>
        <v>7.3696155546300032E-2</v>
      </c>
      <c r="N42" s="25">
        <f t="shared" si="8"/>
        <v>3.9927636279763451E-2</v>
      </c>
      <c r="P42" s="24">
        <f t="shared" si="10"/>
        <v>1406.7314741895364</v>
      </c>
      <c r="Q42" s="65">
        <f t="shared" si="9"/>
        <v>0.82721704957506359</v>
      </c>
    </row>
    <row r="43" spans="3:22" x14ac:dyDescent="0.25">
      <c r="K43">
        <v>10</v>
      </c>
      <c r="L43" s="25">
        <f t="shared" si="6"/>
        <v>0.87457665013851027</v>
      </c>
      <c r="M43" s="25">
        <f t="shared" si="7"/>
        <v>8.1004507007159388E-2</v>
      </c>
      <c r="N43" s="25">
        <f t="shared" si="8"/>
        <v>4.441884285433112E-2</v>
      </c>
      <c r="P43" s="24">
        <f t="shared" si="10"/>
        <v>1446.0994057631935</v>
      </c>
      <c r="Q43" s="65">
        <f t="shared" si="9"/>
        <v>0.81952078792752303</v>
      </c>
    </row>
    <row r="44" spans="3:22" x14ac:dyDescent="0.25">
      <c r="K44">
        <v>11</v>
      </c>
      <c r="L44" s="25">
        <f t="shared" si="6"/>
        <v>0.86293416938984646</v>
      </c>
      <c r="M44" s="25">
        <f t="shared" si="7"/>
        <v>8.8147436629129813E-2</v>
      </c>
      <c r="N44" s="25">
        <f t="shared" si="8"/>
        <v>4.891839398102453E-2</v>
      </c>
      <c r="P44" s="24">
        <f t="shared" si="10"/>
        <v>1484.4657769204487</v>
      </c>
      <c r="Q44" s="65">
        <f t="shared" si="9"/>
        <v>0.81189972710251379</v>
      </c>
    </row>
    <row r="45" spans="3:22" x14ac:dyDescent="0.25">
      <c r="K45">
        <v>12</v>
      </c>
      <c r="L45" s="25">
        <f t="shared" si="6"/>
        <v>0.85144667489420189</v>
      </c>
      <c r="M45" s="25">
        <f t="shared" si="7"/>
        <v>9.5127706519538474E-2</v>
      </c>
      <c r="N45" s="25">
        <f t="shared" si="8"/>
        <v>5.3425618586260541E-2</v>
      </c>
      <c r="P45" s="24">
        <f t="shared" si="10"/>
        <v>1521.8478451362071</v>
      </c>
      <c r="Q45" s="65">
        <f t="shared" si="9"/>
        <v>0.80435309001259714</v>
      </c>
    </row>
    <row r="46" spans="3:22" x14ac:dyDescent="0.25">
      <c r="K46">
        <v>13</v>
      </c>
      <c r="L46" s="25">
        <f t="shared" si="6"/>
        <v>0.84011210345395182</v>
      </c>
      <c r="M46" s="25">
        <f t="shared" si="7"/>
        <v>0.10194803741351643</v>
      </c>
      <c r="N46" s="25">
        <f t="shared" si="8"/>
        <v>5.7939859132532703E-2</v>
      </c>
      <c r="P46" s="24">
        <f t="shared" si="10"/>
        <v>1558.262605894839</v>
      </c>
      <c r="Q46" s="65">
        <f t="shared" si="9"/>
        <v>0.79688010807396326</v>
      </c>
    </row>
    <row r="47" spans="3:22" x14ac:dyDescent="0.25">
      <c r="K47">
        <v>14</v>
      </c>
      <c r="L47" s="25">
        <f t="shared" si="6"/>
        <v>0.8289284193370331</v>
      </c>
      <c r="M47" s="25">
        <f t="shared" si="7"/>
        <v>0.1086111092625808</v>
      </c>
      <c r="N47" s="25">
        <f t="shared" si="8"/>
        <v>6.2460471400387144E-2</v>
      </c>
      <c r="P47" s="24">
        <f t="shared" si="10"/>
        <v>1593.7267964429532</v>
      </c>
      <c r="Q47" s="65">
        <f t="shared" si="9"/>
        <v>0.78948002110836213</v>
      </c>
    </row>
    <row r="48" spans="3:22" x14ac:dyDescent="0.25">
      <c r="K48">
        <v>15</v>
      </c>
      <c r="L48" s="25">
        <f t="shared" si="6"/>
        <v>0.81789361391131854</v>
      </c>
      <c r="M48" s="25">
        <f t="shared" si="7"/>
        <v>0.11511956181507078</v>
      </c>
      <c r="N48" s="25">
        <f t="shared" si="8"/>
        <v>6.6986824273611786E-2</v>
      </c>
      <c r="P48" s="24">
        <f t="shared" si="10"/>
        <v>1628.2568994900387</v>
      </c>
      <c r="Q48" s="65">
        <f t="shared" si="9"/>
        <v>0.78215207724621505</v>
      </c>
    </row>
    <row r="49" spans="11:17" x14ac:dyDescent="0.25">
      <c r="K49">
        <v>16</v>
      </c>
      <c r="L49" s="25">
        <f t="shared" si="6"/>
        <v>0.80700570528385918</v>
      </c>
      <c r="M49" s="25">
        <f t="shared" si="7"/>
        <v>0.12147599518854846</v>
      </c>
      <c r="N49" s="25">
        <f t="shared" si="8"/>
        <v>7.151829952759349E-2</v>
      </c>
      <c r="P49" s="24">
        <f t="shared" si="10"/>
        <v>1661.8691468576799</v>
      </c>
      <c r="Q49" s="65">
        <f t="shared" si="9"/>
        <v>0.77489553283089274</v>
      </c>
    </row>
    <row r="50" spans="11:17" x14ac:dyDescent="0.25">
      <c r="K50">
        <v>17</v>
      </c>
      <c r="L50" s="25">
        <f t="shared" si="6"/>
        <v>0.79626273794492874</v>
      </c>
      <c r="M50" s="25">
        <f t="shared" si="7"/>
        <v>0.1276829704342739</v>
      </c>
      <c r="N50" s="25">
        <f t="shared" si="8"/>
        <v>7.6054291620798478E-2</v>
      </c>
      <c r="P50" s="24">
        <f t="shared" si="10"/>
        <v>1694.5795230780511</v>
      </c>
      <c r="Q50" s="65">
        <f t="shared" si="9"/>
        <v>0.76770965232414545</v>
      </c>
    </row>
    <row r="51" spans="11:17" x14ac:dyDescent="0.25">
      <c r="K51">
        <v>18</v>
      </c>
      <c r="L51" s="25">
        <f t="shared" si="6"/>
        <v>0.78566278241680676</v>
      </c>
      <c r="M51" s="25">
        <f t="shared" si="7"/>
        <v>0.13374301009386252</v>
      </c>
      <c r="N51" s="25">
        <f t="shared" si="8"/>
        <v>8.0594207489331923E-2</v>
      </c>
      <c r="P51" s="24">
        <f t="shared" si="10"/>
        <v>1726.4037689423778</v>
      </c>
      <c r="Q51" s="65">
        <f t="shared" si="9"/>
        <v>0.76059370821267114</v>
      </c>
    </row>
    <row r="52" spans="11:17" x14ac:dyDescent="0.25">
      <c r="K52">
        <v>19</v>
      </c>
      <c r="L52" s="25">
        <f t="shared" si="6"/>
        <v>0.77520393490723671</v>
      </c>
      <c r="M52" s="25">
        <f t="shared" si="7"/>
        <v>0.13965859874823133</v>
      </c>
      <c r="N52" s="25">
        <f t="shared" si="8"/>
        <v>8.513746634453323E-2</v>
      </c>
      <c r="P52" s="24">
        <f t="shared" si="10"/>
        <v>1757.3573850000571</v>
      </c>
      <c r="Q52" s="65">
        <f t="shared" si="9"/>
        <v>0.75354698091580552</v>
      </c>
    </row>
    <row r="53" spans="11:17" x14ac:dyDescent="0.25">
      <c r="K53">
        <v>20</v>
      </c>
      <c r="L53" s="68">
        <f t="shared" si="6"/>
        <v>0.76488431696749803</v>
      </c>
      <c r="M53" s="25">
        <f t="shared" si="7"/>
        <v>0.14543218355893917</v>
      </c>
      <c r="N53" s="25">
        <f t="shared" si="8"/>
        <v>8.9683499473564118E-2</v>
      </c>
      <c r="P53" s="24">
        <f t="shared" si="10"/>
        <v>1787.4556350091032</v>
      </c>
      <c r="Q53" s="65">
        <f t="shared" si="9"/>
        <v>0.74656875869432393</v>
      </c>
    </row>
    <row r="54" spans="11:17" x14ac:dyDescent="0.25">
      <c r="O54" s="54" t="s">
        <v>41</v>
      </c>
      <c r="P54" s="29">
        <f>SUM(P34:P53)</f>
        <v>28977.566183004768</v>
      </c>
      <c r="Q54" s="66">
        <f>SUM(Q34:Q53)</f>
        <v>16.338906754806398</v>
      </c>
    </row>
  </sheetData>
  <mergeCells count="6">
    <mergeCell ref="F3:H3"/>
    <mergeCell ref="E5:E9"/>
    <mergeCell ref="F5:I5"/>
    <mergeCell ref="F30:H30"/>
    <mergeCell ref="E32:E36"/>
    <mergeCell ref="F32:I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3.1 Exercise 3</vt:lpstr>
      <vt:lpstr>Working</vt:lpstr>
      <vt:lpstr>Solution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wzhan</dc:creator>
  <cp:lastModifiedBy>Kevin Gabriel</cp:lastModifiedBy>
  <dcterms:created xsi:type="dcterms:W3CDTF">2003-05-13T04:09:33Z</dcterms:created>
  <dcterms:modified xsi:type="dcterms:W3CDTF">2026-08-19T04:21:58Z</dcterms:modified>
</cp:coreProperties>
</file>